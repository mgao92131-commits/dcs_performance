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40" yWindow="2640" windowWidth="21600" windowHeight="11385" tabRatio="600" firstSheet="0" activeTab="0" autoFilterDateGrouping="1"/>
  </bookViews>
  <sheets>
    <sheet xmlns:r="http://schemas.openxmlformats.org/officeDocument/2006/relationships" name="中控" sheetId="1" state="visible" r:id="rId1"/>
    <sheet xmlns:r="http://schemas.openxmlformats.org/officeDocument/2006/relationships" name="映射" sheetId="2" state="hidden" r:id="rId2"/>
  </sheets>
  <definedNames>
    <definedName name="_xlnm.Print_Titles" localSheetId="0">'中控'!$1:$3,'中控'!$A:$E</definedName>
    <definedName name="_xlnm.Print_Area" localSheetId="0">'中控'!$A$1:$BM$49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m/d;@"/>
  </numFmts>
  <fonts count="9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4"/>
    </font>
    <font>
      <name val="微软雅黑"/>
      <charset val="134"/>
      <family val="2"/>
      <b val="1"/>
      <color rgb="FF1F4E78"/>
      <sz val="10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color rgb="FF000000"/>
      <sz val="10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color theme="0"/>
      <sz val="10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EDF2F8"/>
        <bgColor rgb="FFEDF2F8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3999755851924192"/>
        <bgColor rgb="FFEDF2F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3">
    <border>
      <left/>
      <right/>
      <top/>
      <bottom/>
      <diagonal/>
    </border>
    <border>
      <left style="thin">
        <color rgb="FF2F5597"/>
      </left>
      <right style="thin">
        <color rgb="FF5B9BD5"/>
      </right>
      <top style="thin">
        <color rgb="FF2F5597"/>
      </top>
      <bottom style="medium">
        <color rgb="FF2F5597"/>
      </bottom>
      <diagonal/>
    </border>
    <border>
      <left style="thin">
        <color rgb="FF5B9BD5"/>
      </left>
      <right style="thin">
        <color rgb="FF5B9BD5"/>
      </right>
      <top style="thin">
        <color rgb="FF2F5597"/>
      </top>
      <bottom style="medium">
        <color rgb="FF2F5597"/>
      </bottom>
      <diagonal/>
    </border>
    <border>
      <left style="thin">
        <color rgb="FF5B9BD5"/>
      </left>
      <right style="medium">
        <color rgb="FF2F5597"/>
      </right>
      <top style="thin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E0E0E0"/>
      </right>
      <top style="thin">
        <color rgb="FF8EA9DB"/>
      </top>
      <bottom style="medium">
        <color rgb="FF2F5597"/>
      </bottom>
      <diagonal/>
    </border>
    <border>
      <left style="thin">
        <color rgb="FFE0E0E0"/>
      </left>
      <right style="medium">
        <color rgb="FFB4C6E7"/>
      </right>
      <top style="thin">
        <color rgb="FF8EA9DB"/>
      </top>
      <bottom style="medium">
        <color rgb="FF2F5597"/>
      </bottom>
      <diagonal/>
    </border>
    <border>
      <left style="medium">
        <color rgb="FFB4C6E7"/>
      </left>
      <right style="thin">
        <color rgb="FFE0E0E0"/>
      </right>
      <top style="thin">
        <color rgb="FF8EA9DB"/>
      </top>
      <bottom style="medium">
        <color rgb="FF2F559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F5597"/>
      </bottom>
      <diagonal/>
    </border>
    <border>
      <left style="thin">
        <color rgb="FFD9D9D9"/>
      </left>
      <right style="medium">
        <color rgb="FF2F5597"/>
      </right>
      <top style="thin">
        <color rgb="FFD9D9D9"/>
      </top>
      <bottom style="thin">
        <color rgb="FF2F5597"/>
      </bottom>
      <diagonal/>
    </border>
    <border>
      <left style="medium">
        <color rgb="FF2F5597"/>
      </left>
      <right style="thin">
        <color rgb="FFE0E0E0"/>
      </right>
      <top style="thin">
        <color rgb="FFE0E0E0"/>
      </top>
      <bottom style="thin">
        <color rgb="FF2F5597"/>
      </bottom>
      <diagonal/>
    </border>
    <border>
      <left style="thin">
        <color rgb="FFE0E0E0"/>
      </left>
      <right style="medium">
        <color rgb="FFB4C6E7"/>
      </right>
      <top style="thin">
        <color rgb="FFE0E0E0"/>
      </top>
      <bottom style="thin">
        <color rgb="FF2F5597"/>
      </bottom>
      <diagonal/>
    </border>
    <border>
      <left style="medium">
        <color rgb="FFB4C6E7"/>
      </left>
      <right style="thin">
        <color rgb="FFE0E0E0"/>
      </right>
      <top style="thin">
        <color rgb="FFE0E0E0"/>
      </top>
      <bottom style="thin">
        <color rgb="FF2F559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2F5597"/>
      </right>
      <top style="thin">
        <color rgb="FFD9D9D9"/>
      </top>
      <bottom style="thin">
        <color rgb="FFD9D9D9"/>
      </bottom>
      <diagonal/>
    </border>
    <border>
      <left style="medium">
        <color rgb="FF2F5597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medium">
        <color rgb="FFB4C6E7"/>
      </right>
      <top style="thin">
        <color rgb="FFE0E0E0"/>
      </top>
      <bottom style="thin">
        <color rgb="FFE0E0E0"/>
      </bottom>
      <diagonal/>
    </border>
    <border>
      <left style="medium">
        <color rgb="FFB4C6E7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9D9"/>
      </left>
      <right style="thin">
        <color rgb="FFD9D9D9"/>
      </right>
      <top style="thin">
        <color rgb="FF2F5597"/>
      </top>
      <bottom style="double">
        <color rgb="FF2F5597"/>
      </bottom>
      <diagonal/>
    </border>
    <border>
      <left style="thin">
        <color rgb="FFD9D9D9"/>
      </left>
      <right style="medium">
        <color rgb="FF2F5597"/>
      </right>
      <top style="thin">
        <color rgb="FF2F5597"/>
      </top>
      <bottom style="double">
        <color rgb="FF2F5597"/>
      </bottom>
      <diagonal/>
    </border>
    <border>
      <left style="medium">
        <color rgb="FF2F5597"/>
      </left>
      <right style="thin">
        <color rgb="FFE0E0E0"/>
      </right>
      <top style="thin">
        <color rgb="FF2F5597"/>
      </top>
      <bottom style="double">
        <color rgb="FF2F5597"/>
      </bottom>
      <diagonal/>
    </border>
    <border>
      <left style="thin">
        <color rgb="FFE0E0E0"/>
      </left>
      <right style="medium">
        <color rgb="FFB4C6E7"/>
      </right>
      <top style="thin">
        <color rgb="FF2F5597"/>
      </top>
      <bottom style="double">
        <color rgb="FF2F5597"/>
      </bottom>
      <diagonal/>
    </border>
    <border>
      <left style="medium">
        <color rgb="FFB4C6E7"/>
      </left>
      <right style="thin">
        <color rgb="FFE0E0E0"/>
      </right>
      <top style="thin">
        <color rgb="FF2F5597"/>
      </top>
      <bottom style="double">
        <color rgb="FF2F5597"/>
      </bottom>
      <diagonal/>
    </border>
    <border>
      <left style="medium">
        <color rgb="FFB4C6E7"/>
      </left>
      <right style="medium">
        <color rgb="FFB4C6E7"/>
      </right>
      <top style="thin">
        <color rgb="FF8EA9DB"/>
      </top>
      <bottom style="thin">
        <color rgb="FF8EA9DB"/>
      </bottom>
      <diagonal/>
    </border>
    <border>
      <left/>
      <right style="medium">
        <color rgb="FFB4C6E7"/>
      </right>
      <top style="thin">
        <color rgb="FF8EA9DB"/>
      </top>
      <bottom style="thin">
        <color rgb="FF8EA9DB"/>
      </bottom>
      <diagonal/>
    </border>
    <border>
      <left style="thin">
        <color rgb="FF1F4E78"/>
      </left>
      <right style="medium">
        <color rgb="FF2F5597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medium">
        <color rgb="FF2F5597"/>
      </right>
      <top style="thin">
        <color rgb="FF1F4E78"/>
      </top>
      <bottom style="thin">
        <color rgb="FF1F4E78"/>
      </bottom>
      <diagonal/>
    </border>
    <border>
      <left style="medium">
        <color rgb="FF2F5597"/>
      </left>
      <right style="medium">
        <color rgb="FFB4C6E7"/>
      </right>
      <top style="thin">
        <color rgb="FF8EA9DB"/>
      </top>
      <bottom style="thin">
        <color rgb="FF8EA9DB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rgb="FF8EA9DB"/>
      </top>
      <bottom/>
      <diagonal/>
    </border>
    <border>
      <left/>
      <right style="medium">
        <color rgb="FFB4C6E7"/>
      </right>
      <top style="thin">
        <color rgb="FF8EA9DB"/>
      </top>
      <bottom/>
      <diagonal/>
    </border>
    <border>
      <left/>
      <right/>
      <top style="thin">
        <color rgb="FF1F4E78"/>
      </top>
      <bottom/>
      <diagonal/>
    </border>
    <border>
      <left/>
      <right style="medium">
        <color rgb="FF2F5597"/>
      </right>
      <top style="thin">
        <color rgb="FF1F4E78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5" fillId="5" borderId="28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 vertical="center"/>
    </xf>
    <xf numFmtId="2" fontId="2" fillId="0" borderId="28" applyAlignment="1" pivotButton="0" quotePrefix="0" xfId="0">
      <alignment horizontal="center" vertical="center"/>
    </xf>
    <xf numFmtId="0" fontId="7" fillId="6" borderId="28" applyAlignment="1" pivotButton="0" quotePrefix="0" xfId="0">
      <alignment horizontal="center" vertical="center"/>
    </xf>
    <xf numFmtId="0" fontId="8" fillId="7" borderId="28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5" fillId="8" borderId="13" applyAlignment="1" pivotButton="0" quotePrefix="0" xfId="0">
      <alignment horizontal="left" vertical="center" wrapText="1"/>
    </xf>
    <xf numFmtId="0" fontId="5" fillId="9" borderId="12" applyAlignment="1" pivotButton="0" quotePrefix="0" xfId="0">
      <alignment horizontal="center" vertical="center"/>
    </xf>
    <xf numFmtId="0" fontId="5" fillId="9" borderId="13" applyAlignment="1" pivotButton="0" quotePrefix="0" xfId="0">
      <alignment horizontal="left" vertical="center" wrapText="1"/>
    </xf>
    <xf numFmtId="0" fontId="5" fillId="10" borderId="12" applyAlignment="1" pivotButton="0" quotePrefix="0" xfId="0">
      <alignment horizontal="center" vertical="center"/>
    </xf>
    <xf numFmtId="0" fontId="5" fillId="10" borderId="13" applyAlignment="1" pivotButton="0" quotePrefix="0" xfId="0">
      <alignment horizontal="left" vertical="center" wrapText="1"/>
    </xf>
    <xf numFmtId="0" fontId="4" fillId="10" borderId="17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19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4" fillId="10" borderId="21" applyAlignment="1" pivotButton="0" quotePrefix="0" xfId="0">
      <alignment horizontal="center" vertical="center"/>
    </xf>
    <xf numFmtId="164" fontId="2" fillId="3" borderId="22" applyAlignment="1" pivotButton="0" quotePrefix="0" xfId="0">
      <alignment horizontal="center" vertical="center"/>
    </xf>
    <xf numFmtId="0" fontId="0" fillId="0" borderId="23" pivotButton="0" quotePrefix="0" xfId="0"/>
    <xf numFmtId="0" fontId="1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164" fontId="2" fillId="3" borderId="27" applyAlignment="1" pivotButton="0" quotePrefix="0" xfId="0">
      <alignment horizontal="center" vertical="center"/>
    </xf>
    <xf numFmtId="164" fontId="2" fillId="3" borderId="27" applyAlignment="1" pivotButton="0" quotePrefix="0" xfId="0">
      <alignment horizontal="center" vertical="center"/>
    </xf>
    <xf numFmtId="164" fontId="2" fillId="3" borderId="22" applyAlignment="1" pivotButton="0" quotePrefix="0" xfId="0">
      <alignment horizontal="center" vertical="center"/>
    </xf>
  </cellXfs>
  <cellStyles count="1">
    <cellStyle name="常规" xfId="0" builtinId="0"/>
  </cellStyles>
  <dxfs count="1">
    <dxf>
      <font>
        <name val="微软雅黑"/>
        <b val="1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M49"/>
  <sheetViews>
    <sheetView showGridLines="0" tabSelected="1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C16" sqref="C16"/>
    </sheetView>
  </sheetViews>
  <sheetFormatPr baseColWidth="8" defaultRowHeight="13.5"/>
  <cols>
    <col width="6" customWidth="1" min="1" max="1"/>
    <col width="21" customWidth="1" min="2" max="2"/>
    <col width="18" customWidth="1" min="3" max="3"/>
    <col width="8" customWidth="1" min="4" max="4"/>
    <col width="30" customWidth="1" min="5" max="5"/>
    <col width="5.5" customWidth="1" min="6" max="65"/>
  </cols>
  <sheetData>
    <row r="1" ht="27.95" customHeight="1">
      <c r="A1" s="42" t="inlineStr">
        <is>
          <t>聚酯中控考核积分表（2026年9月）</t>
        </is>
      </c>
      <c r="B1" s="43" t="n"/>
      <c r="C1" s="43" t="n"/>
      <c r="D1" s="43" t="n"/>
      <c r="E1" s="44" t="n"/>
      <c r="F1" s="46" t="n">
        <v>46266</v>
      </c>
      <c r="G1" s="41" t="n"/>
      <c r="H1" s="47" t="n">
        <v>46267</v>
      </c>
      <c r="I1" s="41" t="n"/>
      <c r="J1" s="47" t="n">
        <v>46268</v>
      </c>
      <c r="K1" s="41" t="n"/>
      <c r="L1" s="47" t="n">
        <v>46269</v>
      </c>
      <c r="M1" s="41" t="n"/>
      <c r="N1" s="47" t="n">
        <v>46270</v>
      </c>
      <c r="O1" s="41" t="n"/>
      <c r="P1" s="47" t="n">
        <v>46271</v>
      </c>
      <c r="Q1" s="41" t="n"/>
      <c r="R1" s="47" t="n">
        <v>46272</v>
      </c>
      <c r="S1" s="41" t="n"/>
      <c r="T1" s="47" t="n">
        <v>46273</v>
      </c>
      <c r="U1" s="41" t="n"/>
      <c r="V1" s="47" t="n">
        <v>46274</v>
      </c>
      <c r="W1" s="41" t="n"/>
      <c r="X1" s="47" t="n">
        <v>46275</v>
      </c>
      <c r="Y1" s="41" t="n"/>
      <c r="Z1" s="47" t="n">
        <v>46276</v>
      </c>
      <c r="AA1" s="41" t="n"/>
      <c r="AB1" s="47" t="n">
        <v>46277</v>
      </c>
      <c r="AC1" s="41" t="n"/>
      <c r="AD1" s="47" t="n">
        <v>46278</v>
      </c>
      <c r="AE1" s="41" t="n"/>
      <c r="AF1" s="47" t="n">
        <v>46279</v>
      </c>
      <c r="AG1" s="41" t="n"/>
      <c r="AH1" s="47" t="n">
        <v>46280</v>
      </c>
      <c r="AI1" s="41" t="n"/>
      <c r="AJ1" s="47" t="n">
        <v>46281</v>
      </c>
      <c r="AK1" s="41" t="n"/>
      <c r="AL1" s="47" t="n">
        <v>46282</v>
      </c>
      <c r="AM1" s="41" t="n"/>
      <c r="AN1" s="47" t="n">
        <v>46283</v>
      </c>
      <c r="AO1" s="41" t="n"/>
      <c r="AP1" s="47" t="n">
        <v>46284</v>
      </c>
      <c r="AQ1" s="41" t="n"/>
      <c r="AR1" s="47" t="n">
        <v>46285</v>
      </c>
      <c r="AS1" s="41" t="n"/>
      <c r="AT1" s="47" t="n">
        <v>46286</v>
      </c>
      <c r="AU1" s="41" t="n"/>
      <c r="AV1" s="47" t="n">
        <v>46287</v>
      </c>
      <c r="AW1" s="41" t="n"/>
      <c r="AX1" s="47" t="n">
        <v>46288</v>
      </c>
      <c r="AY1" s="41" t="n"/>
      <c r="AZ1" s="47" t="n">
        <v>46289</v>
      </c>
      <c r="BA1" s="41" t="n"/>
      <c r="BB1" s="47" t="n">
        <v>46290</v>
      </c>
      <c r="BC1" s="41" t="n"/>
      <c r="BD1" s="47" t="n">
        <v>46291</v>
      </c>
      <c r="BE1" s="41" t="n"/>
      <c r="BF1" s="47" t="n">
        <v>46292</v>
      </c>
      <c r="BG1" s="41" t="n"/>
      <c r="BH1" s="47" t="n">
        <v>46293</v>
      </c>
      <c r="BI1" s="41" t="n"/>
      <c r="BJ1" s="47" t="n">
        <v>46294</v>
      </c>
      <c r="BK1" s="41" t="n"/>
      <c r="BL1" s="47" t="n">
        <v>46295</v>
      </c>
      <c r="BM1" s="41" t="n"/>
    </row>
    <row r="2" ht="24" customHeight="1">
      <c r="A2" s="1" t="inlineStr">
        <is>
          <t>序号</t>
        </is>
      </c>
      <c r="B2" s="2" t="inlineStr">
        <is>
          <t>位号</t>
        </is>
      </c>
      <c r="C2" s="2" t="inlineStr">
        <is>
          <t>考核范围</t>
        </is>
      </c>
      <c r="D2" s="2" t="inlineStr">
        <is>
          <t>单位</t>
        </is>
      </c>
      <c r="E2" s="3" t="inlineStr">
        <is>
          <t>考核分值与标准</t>
        </is>
      </c>
      <c r="F2" s="4" t="inlineStr">
        <is>
          <t>丙</t>
        </is>
      </c>
      <c r="G2" s="5" t="inlineStr">
        <is>
          <t>甲</t>
        </is>
      </c>
      <c r="H2" s="6" t="inlineStr">
        <is>
          <t>乙</t>
        </is>
      </c>
      <c r="I2" s="5" t="inlineStr">
        <is>
          <t>丙</t>
        </is>
      </c>
      <c r="J2" s="6" t="inlineStr">
        <is>
          <t>甲</t>
        </is>
      </c>
      <c r="K2" s="5" t="inlineStr">
        <is>
          <t>乙</t>
        </is>
      </c>
      <c r="L2" s="6" t="inlineStr">
        <is>
          <t>丙</t>
        </is>
      </c>
      <c r="M2" s="5" t="inlineStr">
        <is>
          <t>甲</t>
        </is>
      </c>
      <c r="N2" s="6" t="inlineStr">
        <is>
          <t>乙</t>
        </is>
      </c>
      <c r="O2" s="5" t="inlineStr">
        <is>
          <t>丙</t>
        </is>
      </c>
      <c r="P2" s="6" t="inlineStr">
        <is>
          <t>甲</t>
        </is>
      </c>
      <c r="Q2" s="5" t="inlineStr">
        <is>
          <t>乙</t>
        </is>
      </c>
      <c r="R2" s="6" t="inlineStr">
        <is>
          <t>丙</t>
        </is>
      </c>
      <c r="S2" s="5" t="inlineStr">
        <is>
          <t>甲</t>
        </is>
      </c>
      <c r="T2" s="6" t="inlineStr">
        <is>
          <t>乙</t>
        </is>
      </c>
      <c r="U2" s="5" t="inlineStr">
        <is>
          <t>丙</t>
        </is>
      </c>
      <c r="V2" s="6" t="inlineStr">
        <is>
          <t>甲</t>
        </is>
      </c>
      <c r="W2" s="5" t="inlineStr">
        <is>
          <t>乙</t>
        </is>
      </c>
      <c r="X2" s="6" t="inlineStr">
        <is>
          <t>丙</t>
        </is>
      </c>
      <c r="Y2" s="5" t="inlineStr">
        <is>
          <t>甲</t>
        </is>
      </c>
      <c r="Z2" s="6" t="inlineStr">
        <is>
          <t>乙</t>
        </is>
      </c>
      <c r="AA2" s="5" t="inlineStr">
        <is>
          <t>丙</t>
        </is>
      </c>
      <c r="AB2" s="6" t="inlineStr">
        <is>
          <t>甲</t>
        </is>
      </c>
      <c r="AC2" s="5" t="inlineStr">
        <is>
          <t>乙</t>
        </is>
      </c>
      <c r="AD2" s="6" t="inlineStr">
        <is>
          <t>丙</t>
        </is>
      </c>
      <c r="AE2" s="5" t="inlineStr">
        <is>
          <t>甲</t>
        </is>
      </c>
      <c r="AF2" s="6" t="inlineStr">
        <is>
          <t>乙</t>
        </is>
      </c>
      <c r="AG2" s="5" t="inlineStr">
        <is>
          <t>丙</t>
        </is>
      </c>
      <c r="AH2" s="6" t="inlineStr">
        <is>
          <t>甲</t>
        </is>
      </c>
      <c r="AI2" s="5" t="inlineStr">
        <is>
          <t>乙</t>
        </is>
      </c>
      <c r="AJ2" s="6" t="inlineStr">
        <is>
          <t>丙</t>
        </is>
      </c>
      <c r="AK2" s="5" t="inlineStr">
        <is>
          <t>甲</t>
        </is>
      </c>
      <c r="AL2" s="6" t="inlineStr">
        <is>
          <t>乙</t>
        </is>
      </c>
      <c r="AM2" s="5" t="inlineStr">
        <is>
          <t>丙</t>
        </is>
      </c>
      <c r="AN2" s="6" t="inlineStr">
        <is>
          <t>甲</t>
        </is>
      </c>
      <c r="AO2" s="5" t="inlineStr">
        <is>
          <t>乙</t>
        </is>
      </c>
      <c r="AP2" s="6" t="inlineStr">
        <is>
          <t>丙</t>
        </is>
      </c>
      <c r="AQ2" s="5" t="inlineStr">
        <is>
          <t>甲</t>
        </is>
      </c>
      <c r="AR2" s="6" t="inlineStr">
        <is>
          <t>乙</t>
        </is>
      </c>
      <c r="AS2" s="5" t="inlineStr">
        <is>
          <t>丙</t>
        </is>
      </c>
      <c r="AT2" s="6" t="inlineStr">
        <is>
          <t>甲</t>
        </is>
      </c>
      <c r="AU2" s="5" t="inlineStr">
        <is>
          <t>乙</t>
        </is>
      </c>
      <c r="AV2" s="6" t="inlineStr">
        <is>
          <t>丙</t>
        </is>
      </c>
      <c r="AW2" s="5" t="inlineStr">
        <is>
          <t>甲</t>
        </is>
      </c>
      <c r="AX2" s="6" t="inlineStr">
        <is>
          <t>乙</t>
        </is>
      </c>
      <c r="AY2" s="5" t="inlineStr">
        <is>
          <t>丙</t>
        </is>
      </c>
      <c r="AZ2" s="6" t="inlineStr">
        <is>
          <t>甲</t>
        </is>
      </c>
      <c r="BA2" s="5" t="inlineStr">
        <is>
          <t>乙</t>
        </is>
      </c>
      <c r="BB2" s="6" t="inlineStr">
        <is>
          <t>丙</t>
        </is>
      </c>
      <c r="BC2" s="5" t="inlineStr">
        <is>
          <t>甲</t>
        </is>
      </c>
      <c r="BD2" s="6" t="inlineStr">
        <is>
          <t>乙</t>
        </is>
      </c>
      <c r="BE2" s="5" t="inlineStr">
        <is>
          <t>丙</t>
        </is>
      </c>
      <c r="BF2" s="6" t="inlineStr">
        <is>
          <t>甲</t>
        </is>
      </c>
      <c r="BG2" s="5" t="inlineStr">
        <is>
          <t>乙</t>
        </is>
      </c>
      <c r="BH2" s="6" t="inlineStr">
        <is>
          <t>丙</t>
        </is>
      </c>
      <c r="BI2" s="5" t="inlineStr">
        <is>
          <t>甲</t>
        </is>
      </c>
      <c r="BJ2" s="6" t="inlineStr">
        <is>
          <t>乙</t>
        </is>
      </c>
      <c r="BK2" s="5" t="inlineStr">
        <is>
          <t>丙</t>
        </is>
      </c>
      <c r="BL2" s="6" t="inlineStr">
        <is>
          <t>甲</t>
        </is>
      </c>
      <c r="BM2" s="5" t="inlineStr">
        <is>
          <t>乙</t>
        </is>
      </c>
    </row>
    <row r="3" ht="21.95" customHeight="1">
      <c r="A3" s="7" t="n">
        <v>0</v>
      </c>
      <c r="B3" s="7" t="inlineStr">
        <is>
          <t>当班是否考核</t>
        </is>
      </c>
      <c r="C3" s="8" t="n"/>
      <c r="D3" s="8" t="n"/>
      <c r="E3" s="9" t="n"/>
      <c r="F3" s="10" t="inlineStr">
        <is>
          <t>是</t>
        </is>
      </c>
      <c r="G3" s="11" t="inlineStr">
        <is>
          <t>是</t>
        </is>
      </c>
      <c r="H3" s="12" t="inlineStr">
        <is>
          <t>是</t>
        </is>
      </c>
      <c r="I3" s="11" t="inlineStr">
        <is>
          <t>是</t>
        </is>
      </c>
      <c r="J3" s="12" t="inlineStr">
        <is>
          <t>是</t>
        </is>
      </c>
      <c r="K3" s="11" t="n"/>
      <c r="L3" s="12" t="n"/>
      <c r="M3" s="11" t="n"/>
      <c r="N3" s="12" t="n"/>
      <c r="O3" s="11" t="n"/>
      <c r="P3" s="12" t="n"/>
      <c r="Q3" s="11" t="n"/>
      <c r="R3" s="12" t="n"/>
      <c r="S3" s="11" t="n"/>
      <c r="T3" s="12" t="n"/>
      <c r="U3" s="11" t="n"/>
      <c r="V3" s="12" t="n"/>
      <c r="W3" s="11" t="n"/>
      <c r="X3" s="12" t="n"/>
      <c r="Y3" s="11" t="n"/>
      <c r="Z3" s="12" t="n"/>
      <c r="AA3" s="11" t="n"/>
      <c r="AB3" s="12" t="n"/>
      <c r="AC3" s="11" t="n"/>
      <c r="AD3" s="12" t="n"/>
      <c r="AE3" s="11" t="n"/>
      <c r="AF3" s="12" t="n"/>
      <c r="AG3" s="11" t="n"/>
      <c r="AH3" s="12" t="n"/>
      <c r="AI3" s="11" t="n"/>
      <c r="AJ3" s="12" t="n"/>
      <c r="AK3" s="11" t="n"/>
      <c r="AL3" s="12" t="n"/>
      <c r="AM3" s="11" t="n"/>
      <c r="AN3" s="12" t="n"/>
      <c r="AO3" s="11" t="n"/>
      <c r="AP3" s="12" t="n"/>
      <c r="AQ3" s="11" t="n"/>
      <c r="AR3" s="12" t="n"/>
      <c r="AS3" s="11" t="n"/>
      <c r="AT3" s="12" t="n"/>
      <c r="AU3" s="11" t="n"/>
      <c r="AV3" s="12" t="n"/>
      <c r="AW3" s="11" t="n"/>
      <c r="AX3" s="12" t="n"/>
      <c r="AY3" s="11" t="n"/>
      <c r="AZ3" s="12" t="n"/>
      <c r="BA3" s="11" t="n"/>
      <c r="BB3" s="12" t="n"/>
      <c r="BC3" s="11" t="n"/>
      <c r="BD3" s="12" t="n"/>
      <c r="BE3" s="11" t="n"/>
      <c r="BF3" s="12" t="n"/>
      <c r="BG3" s="11" t="n"/>
      <c r="BH3" s="12" t="n"/>
      <c r="BI3" s="11" t="n"/>
      <c r="BJ3" s="12" t="n"/>
      <c r="BK3" s="11" t="n"/>
      <c r="BL3" s="12" t="n"/>
      <c r="BM3" s="11" t="n"/>
    </row>
    <row r="4" ht="21.95" customHeight="1">
      <c r="A4" s="29" t="n">
        <v>1</v>
      </c>
      <c r="B4" s="29" t="inlineStr">
        <is>
          <t>LICA-012019</t>
        </is>
      </c>
      <c r="C4" s="29" t="inlineStr">
        <is>
          <t>71～73</t>
        </is>
      </c>
      <c r="D4" s="29" t="inlineStr">
        <is>
          <t>%</t>
        </is>
      </c>
      <c r="E4" s="30" t="inlineStr">
        <is>
          <t>超限&gt;5分钟扣3分/次</t>
        </is>
      </c>
      <c r="F4" s="13" t="n"/>
      <c r="G4" s="14" t="n"/>
      <c r="H4" s="15" t="n"/>
      <c r="I4" s="14" t="n"/>
      <c r="J4" s="15" t="n"/>
      <c r="K4" s="14" t="n"/>
      <c r="L4" s="15" t="n"/>
      <c r="M4" s="14" t="n"/>
      <c r="N4" s="15" t="n"/>
      <c r="O4" s="14" t="n"/>
      <c r="P4" s="15" t="n"/>
      <c r="Q4" s="14" t="n"/>
      <c r="R4" s="15" t="n"/>
      <c r="S4" s="14" t="n"/>
      <c r="T4" s="15" t="n"/>
      <c r="U4" s="14" t="n"/>
      <c r="V4" s="15" t="n"/>
      <c r="W4" s="14" t="n"/>
      <c r="X4" s="15" t="n"/>
      <c r="Y4" s="14" t="n"/>
      <c r="Z4" s="15" t="n"/>
      <c r="AA4" s="14" t="n"/>
      <c r="AB4" s="15" t="n"/>
      <c r="AC4" s="14" t="n"/>
      <c r="AD4" s="15" t="n"/>
      <c r="AE4" s="14" t="n"/>
      <c r="AF4" s="15" t="n"/>
      <c r="AG4" s="14" t="n"/>
      <c r="AH4" s="15" t="n"/>
      <c r="AI4" s="14" t="n"/>
      <c r="AJ4" s="15" t="n"/>
      <c r="AK4" s="14" t="n"/>
      <c r="AL4" s="15" t="n"/>
      <c r="AM4" s="14" t="n"/>
      <c r="AN4" s="15" t="n"/>
      <c r="AO4" s="14" t="n"/>
      <c r="AP4" s="15" t="n"/>
      <c r="AQ4" s="14" t="n"/>
      <c r="AR4" s="15" t="n"/>
      <c r="AS4" s="14" t="n"/>
      <c r="AT4" s="15" t="n"/>
      <c r="AU4" s="14" t="n"/>
      <c r="AV4" s="15" t="n"/>
      <c r="AW4" s="14" t="n"/>
      <c r="AX4" s="15" t="n"/>
      <c r="AY4" s="14" t="n"/>
      <c r="AZ4" s="15" t="n"/>
      <c r="BA4" s="14" t="n"/>
      <c r="BB4" s="15" t="n"/>
      <c r="BC4" s="14" t="n"/>
      <c r="BD4" s="15" t="n"/>
      <c r="BE4" s="14" t="n"/>
      <c r="BF4" s="15" t="n"/>
      <c r="BG4" s="14" t="n"/>
      <c r="BH4" s="15" t="n"/>
      <c r="BI4" s="14" t="n"/>
      <c r="BJ4" s="15" t="n"/>
      <c r="BK4" s="14" t="n"/>
      <c r="BL4" s="15" t="n"/>
      <c r="BM4" s="14" t="n"/>
    </row>
    <row r="5" ht="21.95" customHeight="1">
      <c r="A5" s="29" t="n">
        <v>2</v>
      </c>
      <c r="B5" s="29" t="inlineStr">
        <is>
          <t>LIC-013107</t>
        </is>
      </c>
      <c r="C5" s="29" t="inlineStr">
        <is>
          <t>30～75</t>
        </is>
      </c>
      <c r="D5" s="29" t="inlineStr">
        <is>
          <t>%</t>
        </is>
      </c>
      <c r="E5" s="30" t="inlineStr">
        <is>
          <t>超限&gt;5分钟扣3分/次</t>
        </is>
      </c>
      <c r="F5" s="13" t="n"/>
      <c r="G5" s="14" t="n"/>
      <c r="H5" s="15" t="n"/>
      <c r="I5" s="14" t="n"/>
      <c r="J5" s="15" t="n"/>
      <c r="K5" s="14" t="n"/>
      <c r="L5" s="15" t="n"/>
      <c r="M5" s="14" t="n"/>
      <c r="N5" s="15" t="n"/>
      <c r="O5" s="14" t="n"/>
      <c r="P5" s="15" t="n"/>
      <c r="Q5" s="14" t="n"/>
      <c r="R5" s="15" t="n"/>
      <c r="S5" s="14" t="n"/>
      <c r="T5" s="15" t="n"/>
      <c r="U5" s="14" t="n"/>
      <c r="V5" s="15" t="n"/>
      <c r="W5" s="14" t="n"/>
      <c r="X5" s="15" t="n"/>
      <c r="Y5" s="14" t="n"/>
      <c r="Z5" s="15" t="n"/>
      <c r="AA5" s="14" t="n"/>
      <c r="AB5" s="15" t="n"/>
      <c r="AC5" s="14" t="n"/>
      <c r="AD5" s="15" t="n"/>
      <c r="AE5" s="14" t="n"/>
      <c r="AF5" s="15" t="n"/>
      <c r="AG5" s="14" t="n"/>
      <c r="AH5" s="15" t="n"/>
      <c r="AI5" s="14" t="n"/>
      <c r="AJ5" s="15" t="n"/>
      <c r="AK5" s="14" t="n"/>
      <c r="AL5" s="15" t="n"/>
      <c r="AM5" s="14" t="n"/>
      <c r="AN5" s="15" t="n"/>
      <c r="AO5" s="14" t="n"/>
      <c r="AP5" s="15" t="n"/>
      <c r="AQ5" s="14" t="n"/>
      <c r="AR5" s="15" t="n"/>
      <c r="AS5" s="14" t="n"/>
      <c r="AT5" s="15" t="n"/>
      <c r="AU5" s="14" t="n"/>
      <c r="AV5" s="15" t="n"/>
      <c r="AW5" s="14" t="n"/>
      <c r="AX5" s="15" t="n"/>
      <c r="AY5" s="14" t="n"/>
      <c r="AZ5" s="15" t="n"/>
      <c r="BA5" s="14" t="n"/>
      <c r="BB5" s="15" t="n"/>
      <c r="BC5" s="14" t="n"/>
      <c r="BD5" s="15" t="n"/>
      <c r="BE5" s="14" t="n"/>
      <c r="BF5" s="15" t="n"/>
      <c r="BG5" s="14" t="n"/>
      <c r="BH5" s="15" t="n"/>
      <c r="BI5" s="14" t="n"/>
      <c r="BJ5" s="15" t="n"/>
      <c r="BK5" s="14" t="n"/>
      <c r="BL5" s="15" t="n"/>
      <c r="BM5" s="14" t="n"/>
    </row>
    <row r="6" ht="21.95" customHeight="1">
      <c r="A6" s="29" t="n">
        <v>3</v>
      </c>
      <c r="B6" s="29" t="inlineStr">
        <is>
          <t>LIC-017149</t>
        </is>
      </c>
      <c r="C6" s="29" t="inlineStr">
        <is>
          <t>36～44</t>
        </is>
      </c>
      <c r="D6" s="29" t="inlineStr">
        <is>
          <t>%</t>
        </is>
      </c>
      <c r="E6" s="30" t="inlineStr">
        <is>
          <t>超限&gt;5分钟扣3分/次</t>
        </is>
      </c>
      <c r="F6" s="13" t="n"/>
      <c r="G6" s="14" t="n"/>
      <c r="H6" s="15" t="n"/>
      <c r="I6" s="14" t="n"/>
      <c r="J6" s="15" t="n"/>
      <c r="K6" s="14" t="n"/>
      <c r="L6" s="15" t="n"/>
      <c r="M6" s="14" t="n"/>
      <c r="N6" s="15" t="n"/>
      <c r="O6" s="14" t="n"/>
      <c r="P6" s="15" t="n"/>
      <c r="Q6" s="14" t="n"/>
      <c r="R6" s="15" t="n"/>
      <c r="S6" s="14" t="n"/>
      <c r="T6" s="15" t="n"/>
      <c r="U6" s="14" t="n"/>
      <c r="V6" s="15" t="n"/>
      <c r="W6" s="14" t="n"/>
      <c r="X6" s="15" t="n"/>
      <c r="Y6" s="14" t="n"/>
      <c r="Z6" s="15" t="n"/>
      <c r="AA6" s="14" t="n"/>
      <c r="AB6" s="15" t="n"/>
      <c r="AC6" s="14" t="n"/>
      <c r="AD6" s="15" t="n"/>
      <c r="AE6" s="14" t="n"/>
      <c r="AF6" s="15" t="n"/>
      <c r="AG6" s="14" t="n"/>
      <c r="AH6" s="15" t="n"/>
      <c r="AI6" s="14" t="n"/>
      <c r="AJ6" s="15" t="n"/>
      <c r="AK6" s="14" t="n"/>
      <c r="AL6" s="15" t="n"/>
      <c r="AM6" s="14" t="n"/>
      <c r="AN6" s="15" t="n"/>
      <c r="AO6" s="14" t="n"/>
      <c r="AP6" s="15" t="n"/>
      <c r="AQ6" s="14" t="n"/>
      <c r="AR6" s="15" t="n"/>
      <c r="AS6" s="14" t="n"/>
      <c r="AT6" s="15" t="n"/>
      <c r="AU6" s="14" t="n"/>
      <c r="AV6" s="15" t="n"/>
      <c r="AW6" s="14" t="n"/>
      <c r="AX6" s="15" t="n"/>
      <c r="AY6" s="14" t="n"/>
      <c r="AZ6" s="15" t="n"/>
      <c r="BA6" s="14" t="n"/>
      <c r="BB6" s="15" t="n"/>
      <c r="BC6" s="14" t="n"/>
      <c r="BD6" s="15" t="n"/>
      <c r="BE6" s="14" t="n"/>
      <c r="BF6" s="15" t="n"/>
      <c r="BG6" s="14" t="n"/>
      <c r="BH6" s="15" t="n"/>
      <c r="BI6" s="14" t="n"/>
      <c r="BJ6" s="15" t="n"/>
      <c r="BK6" s="14" t="n"/>
      <c r="BL6" s="15" t="n"/>
      <c r="BM6" s="14" t="n"/>
    </row>
    <row r="7" ht="21.95" customHeight="1">
      <c r="A7" s="29" t="n">
        <v>4</v>
      </c>
      <c r="B7" s="29" t="inlineStr">
        <is>
          <t>LIC-117016</t>
        </is>
      </c>
      <c r="C7" s="29" t="inlineStr">
        <is>
          <t>38.5～39.5</t>
        </is>
      </c>
      <c r="D7" s="29" t="inlineStr">
        <is>
          <t>%</t>
        </is>
      </c>
      <c r="E7" s="30" t="inlineStr">
        <is>
          <t>超限&gt;5分钟扣2分/次</t>
        </is>
      </c>
      <c r="F7" s="13" t="n"/>
      <c r="G7" s="14" t="n"/>
      <c r="H7" s="15" t="n">
        <v>-2</v>
      </c>
      <c r="I7" s="14" t="n"/>
      <c r="J7" s="15" t="n"/>
      <c r="K7" s="14" t="n"/>
      <c r="L7" s="15" t="n"/>
      <c r="M7" s="14" t="n"/>
      <c r="N7" s="15" t="n"/>
      <c r="O7" s="14" t="n"/>
      <c r="P7" s="15" t="n"/>
      <c r="Q7" s="14" t="n"/>
      <c r="R7" s="15" t="n"/>
      <c r="S7" s="14" t="n"/>
      <c r="T7" s="15" t="n"/>
      <c r="U7" s="14" t="n"/>
      <c r="V7" s="15" t="n"/>
      <c r="W7" s="14" t="n"/>
      <c r="X7" s="15" t="n"/>
      <c r="Y7" s="14" t="n"/>
      <c r="Z7" s="15" t="n"/>
      <c r="AA7" s="14" t="n"/>
      <c r="AB7" s="15" t="n"/>
      <c r="AC7" s="14" t="n"/>
      <c r="AD7" s="15" t="n"/>
      <c r="AE7" s="14" t="n"/>
      <c r="AF7" s="15" t="n"/>
      <c r="AG7" s="14" t="n"/>
      <c r="AH7" s="15" t="n"/>
      <c r="AI7" s="14" t="n"/>
      <c r="AJ7" s="15" t="n"/>
      <c r="AK7" s="14" t="n"/>
      <c r="AL7" s="15" t="n"/>
      <c r="AM7" s="14" t="n"/>
      <c r="AN7" s="15" t="n"/>
      <c r="AO7" s="14" t="n"/>
      <c r="AP7" s="15" t="n"/>
      <c r="AQ7" s="14" t="n"/>
      <c r="AR7" s="15" t="n"/>
      <c r="AS7" s="14" t="n"/>
      <c r="AT7" s="15" t="n"/>
      <c r="AU7" s="14" t="n"/>
      <c r="AV7" s="15" t="n"/>
      <c r="AW7" s="14" t="n"/>
      <c r="AX7" s="15" t="n"/>
      <c r="AY7" s="14" t="n"/>
      <c r="AZ7" s="15" t="n"/>
      <c r="BA7" s="14" t="n"/>
      <c r="BB7" s="15" t="n"/>
      <c r="BC7" s="14" t="n"/>
      <c r="BD7" s="15" t="n"/>
      <c r="BE7" s="14" t="n"/>
      <c r="BF7" s="15" t="n"/>
      <c r="BG7" s="14" t="n"/>
      <c r="BH7" s="15" t="n"/>
      <c r="BI7" s="14" t="n"/>
      <c r="BJ7" s="15" t="n"/>
      <c r="BK7" s="14" t="n"/>
      <c r="BL7" s="15" t="n"/>
      <c r="BM7" s="14" t="n"/>
    </row>
    <row r="8" ht="21.95" customHeight="1">
      <c r="A8" s="29" t="n">
        <v>5</v>
      </c>
      <c r="B8" s="29" t="inlineStr">
        <is>
          <t>LIC-217016</t>
        </is>
      </c>
      <c r="C8" s="29" t="inlineStr">
        <is>
          <t>38.5～39.5</t>
        </is>
      </c>
      <c r="D8" s="29" t="inlineStr">
        <is>
          <t>%</t>
        </is>
      </c>
      <c r="E8" s="30" t="inlineStr">
        <is>
          <t>超限&gt;5分钟扣2分/次</t>
        </is>
      </c>
      <c r="F8" s="13" t="n"/>
      <c r="G8" s="14" t="n">
        <v>-6</v>
      </c>
      <c r="H8" s="15" t="n">
        <v>-6</v>
      </c>
      <c r="I8" s="14" t="n"/>
      <c r="J8" s="15" t="n"/>
      <c r="K8" s="14" t="n"/>
      <c r="L8" s="15" t="n"/>
      <c r="M8" s="14" t="n"/>
      <c r="N8" s="15" t="n"/>
      <c r="O8" s="14" t="n"/>
      <c r="P8" s="15" t="n"/>
      <c r="Q8" s="14" t="n"/>
      <c r="R8" s="15" t="n"/>
      <c r="S8" s="14" t="n"/>
      <c r="T8" s="15" t="n"/>
      <c r="U8" s="14" t="n"/>
      <c r="V8" s="15" t="n"/>
      <c r="W8" s="14" t="n"/>
      <c r="X8" s="15" t="n"/>
      <c r="Y8" s="14" t="n"/>
      <c r="Z8" s="15" t="n"/>
      <c r="AA8" s="14" t="n"/>
      <c r="AB8" s="15" t="n"/>
      <c r="AC8" s="14" t="n"/>
      <c r="AD8" s="15" t="n"/>
      <c r="AE8" s="14" t="n"/>
      <c r="AF8" s="15" t="n"/>
      <c r="AG8" s="14" t="n"/>
      <c r="AH8" s="15" t="n"/>
      <c r="AI8" s="14" t="n"/>
      <c r="AJ8" s="15" t="n"/>
      <c r="AK8" s="14" t="n"/>
      <c r="AL8" s="15" t="n"/>
      <c r="AM8" s="14" t="n"/>
      <c r="AN8" s="15" t="n"/>
      <c r="AO8" s="14" t="n"/>
      <c r="AP8" s="15" t="n"/>
      <c r="AQ8" s="14" t="n"/>
      <c r="AR8" s="15" t="n"/>
      <c r="AS8" s="14" t="n"/>
      <c r="AT8" s="15" t="n"/>
      <c r="AU8" s="14" t="n"/>
      <c r="AV8" s="15" t="n"/>
      <c r="AW8" s="14" t="n"/>
      <c r="AX8" s="15" t="n"/>
      <c r="AY8" s="14" t="n"/>
      <c r="AZ8" s="15" t="n"/>
      <c r="BA8" s="14" t="n"/>
      <c r="BB8" s="15" t="n"/>
      <c r="BC8" s="14" t="n"/>
      <c r="BD8" s="15" t="n"/>
      <c r="BE8" s="14" t="n"/>
      <c r="BF8" s="15" t="n"/>
      <c r="BG8" s="14" t="n"/>
      <c r="BH8" s="15" t="n"/>
      <c r="BI8" s="14" t="n"/>
      <c r="BJ8" s="15" t="n"/>
      <c r="BK8" s="14" t="n"/>
      <c r="BL8" s="15" t="n"/>
      <c r="BM8" s="14" t="n"/>
    </row>
    <row r="9" ht="21.95" customHeight="1">
      <c r="A9" s="29" t="n">
        <v>6</v>
      </c>
      <c r="B9" s="29" t="inlineStr">
        <is>
          <t>TIC-013060</t>
        </is>
      </c>
      <c r="C9" s="29" t="inlineStr">
        <is>
          <t>110～125</t>
        </is>
      </c>
      <c r="D9" s="29" t="inlineStr">
        <is>
          <t>℃</t>
        </is>
      </c>
      <c r="E9" s="30" t="inlineStr">
        <is>
          <t>超限&gt;30分钟扣2分/次</t>
        </is>
      </c>
      <c r="F9" s="13" t="n"/>
      <c r="G9" s="14" t="n"/>
      <c r="H9" s="15" t="n"/>
      <c r="I9" s="14" t="n"/>
      <c r="J9" s="15" t="n"/>
      <c r="K9" s="14" t="n"/>
      <c r="L9" s="15" t="n"/>
      <c r="M9" s="14" t="n"/>
      <c r="N9" s="15" t="n"/>
      <c r="O9" s="14" t="n"/>
      <c r="P9" s="15" t="n"/>
      <c r="Q9" s="14" t="n"/>
      <c r="R9" s="15" t="n"/>
      <c r="S9" s="14" t="n"/>
      <c r="T9" s="15" t="n"/>
      <c r="U9" s="14" t="n"/>
      <c r="V9" s="15" t="n"/>
      <c r="W9" s="14" t="n"/>
      <c r="X9" s="15" t="n"/>
      <c r="Y9" s="14" t="n"/>
      <c r="Z9" s="15" t="n"/>
      <c r="AA9" s="14" t="n"/>
      <c r="AB9" s="15" t="n"/>
      <c r="AC9" s="14" t="n"/>
      <c r="AD9" s="15" t="n"/>
      <c r="AE9" s="14" t="n"/>
      <c r="AF9" s="15" t="n"/>
      <c r="AG9" s="14" t="n"/>
      <c r="AH9" s="15" t="n"/>
      <c r="AI9" s="14" t="n"/>
      <c r="AJ9" s="15" t="n"/>
      <c r="AK9" s="14" t="n"/>
      <c r="AL9" s="15" t="n"/>
      <c r="AM9" s="14" t="n"/>
      <c r="AN9" s="15" t="n"/>
      <c r="AO9" s="14" t="n"/>
      <c r="AP9" s="15" t="n"/>
      <c r="AQ9" s="14" t="n"/>
      <c r="AR9" s="15" t="n"/>
      <c r="AS9" s="14" t="n"/>
      <c r="AT9" s="15" t="n"/>
      <c r="AU9" s="14" t="n"/>
      <c r="AV9" s="15" t="n"/>
      <c r="AW9" s="14" t="n"/>
      <c r="AX9" s="15" t="n"/>
      <c r="AY9" s="14" t="n"/>
      <c r="AZ9" s="15" t="n"/>
      <c r="BA9" s="14" t="n"/>
      <c r="BB9" s="15" t="n"/>
      <c r="BC9" s="14" t="n"/>
      <c r="BD9" s="15" t="n"/>
      <c r="BE9" s="14" t="n"/>
      <c r="BF9" s="15" t="n"/>
      <c r="BG9" s="14" t="n"/>
      <c r="BH9" s="15" t="n"/>
      <c r="BI9" s="14" t="n"/>
      <c r="BJ9" s="15" t="n"/>
      <c r="BK9" s="14" t="n"/>
      <c r="BL9" s="15" t="n"/>
      <c r="BM9" s="14" t="n"/>
    </row>
    <row r="10" ht="21.95" customHeight="1">
      <c r="A10" s="29" t="n">
        <v>7</v>
      </c>
      <c r="B10" s="29" t="inlineStr">
        <is>
          <t>LIC-013065</t>
        </is>
      </c>
      <c r="C10" s="29" t="inlineStr">
        <is>
          <t>62～68</t>
        </is>
      </c>
      <c r="D10" s="29" t="inlineStr">
        <is>
          <t>%</t>
        </is>
      </c>
      <c r="E10" s="30" t="inlineStr">
        <is>
          <t>超限&gt;10分钟扣2分/次</t>
        </is>
      </c>
      <c r="F10" s="13" t="n"/>
      <c r="G10" s="14" t="n"/>
      <c r="H10" s="15" t="n"/>
      <c r="I10" s="14" t="n"/>
      <c r="J10" s="15" t="n"/>
      <c r="K10" s="14" t="n"/>
      <c r="L10" s="15" t="n"/>
      <c r="M10" s="14" t="n"/>
      <c r="N10" s="15" t="n"/>
      <c r="O10" s="14" t="n"/>
      <c r="P10" s="15" t="n"/>
      <c r="Q10" s="14" t="n"/>
      <c r="R10" s="15" t="n"/>
      <c r="S10" s="14" t="n"/>
      <c r="T10" s="15" t="n"/>
      <c r="U10" s="14" t="n"/>
      <c r="V10" s="15" t="n"/>
      <c r="W10" s="14" t="n"/>
      <c r="X10" s="15" t="n"/>
      <c r="Y10" s="14" t="n"/>
      <c r="Z10" s="15" t="n"/>
      <c r="AA10" s="14" t="n"/>
      <c r="AB10" s="15" t="n"/>
      <c r="AC10" s="14" t="n"/>
      <c r="AD10" s="15" t="n"/>
      <c r="AE10" s="14" t="n"/>
      <c r="AF10" s="15" t="n"/>
      <c r="AG10" s="14" t="n"/>
      <c r="AH10" s="15" t="n"/>
      <c r="AI10" s="14" t="n"/>
      <c r="AJ10" s="15" t="n"/>
      <c r="AK10" s="14" t="n"/>
      <c r="AL10" s="15" t="n"/>
      <c r="AM10" s="14" t="n"/>
      <c r="AN10" s="15" t="n"/>
      <c r="AO10" s="14" t="n"/>
      <c r="AP10" s="15" t="n"/>
      <c r="AQ10" s="14" t="n"/>
      <c r="AR10" s="15" t="n"/>
      <c r="AS10" s="14" t="n"/>
      <c r="AT10" s="15" t="n"/>
      <c r="AU10" s="14" t="n"/>
      <c r="AV10" s="15" t="n"/>
      <c r="AW10" s="14" t="n"/>
      <c r="AX10" s="15" t="n"/>
      <c r="AY10" s="14" t="n"/>
      <c r="AZ10" s="15" t="n"/>
      <c r="BA10" s="14" t="n"/>
      <c r="BB10" s="15" t="n"/>
      <c r="BC10" s="14" t="n"/>
      <c r="BD10" s="15" t="n"/>
      <c r="BE10" s="14" t="n"/>
      <c r="BF10" s="15" t="n"/>
      <c r="BG10" s="14" t="n"/>
      <c r="BH10" s="15" t="n"/>
      <c r="BI10" s="14" t="n"/>
      <c r="BJ10" s="15" t="n"/>
      <c r="BK10" s="14" t="n"/>
      <c r="BL10" s="15" t="n"/>
      <c r="BM10" s="14" t="n"/>
    </row>
    <row r="11" ht="21.95" customHeight="1">
      <c r="A11" s="31" t="n">
        <v>8</v>
      </c>
      <c r="B11" s="31" t="inlineStr">
        <is>
          <t>TIC-012022</t>
        </is>
      </c>
      <c r="C11" s="31" t="inlineStr">
        <is>
          <t>288.3～289.7</t>
        </is>
      </c>
      <c r="D11" s="31" t="inlineStr">
        <is>
          <t>℃</t>
        </is>
      </c>
      <c r="E11" s="32" t="inlineStr">
        <is>
          <t>超限&gt;10分钟扣1分/次</t>
        </is>
      </c>
      <c r="F11" s="13" t="n"/>
      <c r="G11" s="14" t="n"/>
      <c r="H11" s="15" t="n"/>
      <c r="I11" s="14" t="n"/>
      <c r="J11" s="15" t="n"/>
      <c r="K11" s="14" t="n"/>
      <c r="L11" s="15" t="n"/>
      <c r="M11" s="14" t="n"/>
      <c r="N11" s="15" t="n"/>
      <c r="O11" s="14" t="n"/>
      <c r="P11" s="15" t="n"/>
      <c r="Q11" s="14" t="n"/>
      <c r="R11" s="15" t="n"/>
      <c r="S11" s="14" t="n"/>
      <c r="T11" s="15" t="n"/>
      <c r="U11" s="14" t="n"/>
      <c r="V11" s="15" t="n"/>
      <c r="W11" s="14" t="n"/>
      <c r="X11" s="15" t="n"/>
      <c r="Y11" s="14" t="n"/>
      <c r="Z11" s="15" t="n"/>
      <c r="AA11" s="14" t="n"/>
      <c r="AB11" s="15" t="n"/>
      <c r="AC11" s="14" t="n"/>
      <c r="AD11" s="15" t="n"/>
      <c r="AE11" s="14" t="n"/>
      <c r="AF11" s="15" t="n"/>
      <c r="AG11" s="14" t="n"/>
      <c r="AH11" s="15" t="n"/>
      <c r="AI11" s="14" t="n"/>
      <c r="AJ11" s="15" t="n"/>
      <c r="AK11" s="14" t="n"/>
      <c r="AL11" s="15" t="n"/>
      <c r="AM11" s="14" t="n"/>
      <c r="AN11" s="15" t="n"/>
      <c r="AO11" s="14" t="n"/>
      <c r="AP11" s="15" t="n"/>
      <c r="AQ11" s="14" t="n"/>
      <c r="AR11" s="15" t="n"/>
      <c r="AS11" s="14" t="n"/>
      <c r="AT11" s="15" t="n"/>
      <c r="AU11" s="14" t="n"/>
      <c r="AV11" s="15" t="n"/>
      <c r="AW11" s="14" t="n"/>
      <c r="AX11" s="15" t="n"/>
      <c r="AY11" s="14" t="n"/>
      <c r="AZ11" s="15" t="n"/>
      <c r="BA11" s="14" t="n"/>
      <c r="BB11" s="15" t="n"/>
      <c r="BC11" s="14" t="n"/>
      <c r="BD11" s="15" t="n"/>
      <c r="BE11" s="14" t="n"/>
      <c r="BF11" s="15" t="n"/>
      <c r="BG11" s="14" t="n"/>
      <c r="BH11" s="15" t="n"/>
      <c r="BI11" s="14" t="n"/>
      <c r="BJ11" s="15" t="n"/>
      <c r="BK11" s="14" t="n"/>
      <c r="BL11" s="15" t="n"/>
      <c r="BM11" s="14" t="n"/>
    </row>
    <row r="12" ht="21.95" customHeight="1">
      <c r="A12" s="31" t="n">
        <v>9</v>
      </c>
      <c r="B12" s="31" t="inlineStr">
        <is>
          <t>TIC-015009</t>
        </is>
      </c>
      <c r="C12" s="31" t="inlineStr">
        <is>
          <t>289.3～290.7</t>
        </is>
      </c>
      <c r="D12" s="31" t="inlineStr">
        <is>
          <t>℃</t>
        </is>
      </c>
      <c r="E12" s="32" t="inlineStr">
        <is>
          <t>超限&gt;10分钟扣1分/次</t>
        </is>
      </c>
      <c r="F12" s="13" t="n"/>
      <c r="G12" s="14" t="n"/>
      <c r="H12" s="15" t="n"/>
      <c r="I12" s="14" t="n"/>
      <c r="J12" s="15" t="n"/>
      <c r="K12" s="14" t="n"/>
      <c r="L12" s="15" t="n"/>
      <c r="M12" s="14" t="n"/>
      <c r="N12" s="15" t="n"/>
      <c r="O12" s="14" t="n"/>
      <c r="P12" s="15" t="n"/>
      <c r="Q12" s="14" t="n"/>
      <c r="R12" s="15" t="n"/>
      <c r="S12" s="14" t="n"/>
      <c r="T12" s="15" t="n"/>
      <c r="U12" s="14" t="n"/>
      <c r="V12" s="15" t="n"/>
      <c r="W12" s="14" t="n"/>
      <c r="X12" s="15" t="n"/>
      <c r="Y12" s="14" t="n"/>
      <c r="Z12" s="15" t="n"/>
      <c r="AA12" s="14" t="n"/>
      <c r="AB12" s="15" t="n"/>
      <c r="AC12" s="14" t="n"/>
      <c r="AD12" s="15" t="n"/>
      <c r="AE12" s="14" t="n"/>
      <c r="AF12" s="15" t="n"/>
      <c r="AG12" s="14" t="n"/>
      <c r="AH12" s="15" t="n"/>
      <c r="AI12" s="14" t="n"/>
      <c r="AJ12" s="15" t="n"/>
      <c r="AK12" s="14" t="n"/>
      <c r="AL12" s="15" t="n"/>
      <c r="AM12" s="14" t="n"/>
      <c r="AN12" s="15" t="n"/>
      <c r="AO12" s="14" t="n"/>
      <c r="AP12" s="15" t="n"/>
      <c r="AQ12" s="14" t="n"/>
      <c r="AR12" s="15" t="n"/>
      <c r="AS12" s="14" t="n"/>
      <c r="AT12" s="15" t="n"/>
      <c r="AU12" s="14" t="n"/>
      <c r="AV12" s="15" t="n"/>
      <c r="AW12" s="14" t="n"/>
      <c r="AX12" s="15" t="n"/>
      <c r="AY12" s="14" t="n"/>
      <c r="AZ12" s="15" t="n"/>
      <c r="BA12" s="14" t="n"/>
      <c r="BB12" s="15" t="n"/>
      <c r="BC12" s="14" t="n"/>
      <c r="BD12" s="15" t="n"/>
      <c r="BE12" s="14" t="n"/>
      <c r="BF12" s="15" t="n"/>
      <c r="BG12" s="14" t="n"/>
      <c r="BH12" s="15" t="n"/>
      <c r="BI12" s="14" t="n"/>
      <c r="BJ12" s="15" t="n"/>
      <c r="BK12" s="14" t="n"/>
      <c r="BL12" s="15" t="n"/>
      <c r="BM12" s="14" t="n"/>
    </row>
    <row r="13" ht="21.95" customHeight="1">
      <c r="A13" s="31" t="n">
        <v>10</v>
      </c>
      <c r="B13" s="31" t="inlineStr">
        <is>
          <t>TIC-117117</t>
        </is>
      </c>
      <c r="C13" s="31" t="inlineStr">
        <is>
          <t>297.3～298.7</t>
        </is>
      </c>
      <c r="D13" s="31" t="inlineStr">
        <is>
          <t>℃</t>
        </is>
      </c>
      <c r="E13" s="32" t="inlineStr">
        <is>
          <t>超限&gt;10分钟扣1分/次</t>
        </is>
      </c>
      <c r="F13" s="13" t="n"/>
      <c r="G13" s="14" t="n"/>
      <c r="H13" s="15" t="n"/>
      <c r="I13" s="14" t="n"/>
      <c r="J13" s="15" t="n"/>
      <c r="K13" s="14" t="n"/>
      <c r="L13" s="15" t="n"/>
      <c r="M13" s="14" t="n"/>
      <c r="N13" s="15" t="n"/>
      <c r="O13" s="14" t="n"/>
      <c r="P13" s="15" t="n"/>
      <c r="Q13" s="14" t="n"/>
      <c r="R13" s="15" t="n"/>
      <c r="S13" s="14" t="n"/>
      <c r="T13" s="15" t="n"/>
      <c r="U13" s="14" t="n"/>
      <c r="V13" s="15" t="n"/>
      <c r="W13" s="14" t="n"/>
      <c r="X13" s="15" t="n"/>
      <c r="Y13" s="14" t="n"/>
      <c r="Z13" s="15" t="n"/>
      <c r="AA13" s="14" t="n"/>
      <c r="AB13" s="15" t="n"/>
      <c r="AC13" s="14" t="n"/>
      <c r="AD13" s="15" t="n"/>
      <c r="AE13" s="14" t="n"/>
      <c r="AF13" s="15" t="n"/>
      <c r="AG13" s="14" t="n"/>
      <c r="AH13" s="15" t="n"/>
      <c r="AI13" s="14" t="n"/>
      <c r="AJ13" s="15" t="n"/>
      <c r="AK13" s="14" t="n"/>
      <c r="AL13" s="15" t="n"/>
      <c r="AM13" s="14" t="n"/>
      <c r="AN13" s="15" t="n"/>
      <c r="AO13" s="14" t="n"/>
      <c r="AP13" s="15" t="n"/>
      <c r="AQ13" s="14" t="n"/>
      <c r="AR13" s="15" t="n"/>
      <c r="AS13" s="14" t="n"/>
      <c r="AT13" s="15" t="n"/>
      <c r="AU13" s="14" t="n"/>
      <c r="AV13" s="15" t="n"/>
      <c r="AW13" s="14" t="n"/>
      <c r="AX13" s="15" t="n"/>
      <c r="AY13" s="14" t="n"/>
      <c r="AZ13" s="15" t="n"/>
      <c r="BA13" s="14" t="n"/>
      <c r="BB13" s="15" t="n"/>
      <c r="BC13" s="14" t="n"/>
      <c r="BD13" s="15" t="n"/>
      <c r="BE13" s="14" t="n"/>
      <c r="BF13" s="15" t="n"/>
      <c r="BG13" s="14" t="n"/>
      <c r="BH13" s="15" t="n"/>
      <c r="BI13" s="14" t="n"/>
      <c r="BJ13" s="15" t="n"/>
      <c r="BK13" s="14" t="n"/>
      <c r="BL13" s="15" t="n"/>
      <c r="BM13" s="14" t="n"/>
    </row>
    <row r="14" ht="21.95" customHeight="1">
      <c r="A14" s="31" t="n">
        <v>11</v>
      </c>
      <c r="B14" s="31" t="inlineStr">
        <is>
          <t>TIC-217117</t>
        </is>
      </c>
      <c r="C14" s="31" t="inlineStr">
        <is>
          <t>297.3～298.7</t>
        </is>
      </c>
      <c r="D14" s="31" t="inlineStr">
        <is>
          <t>℃</t>
        </is>
      </c>
      <c r="E14" s="32" t="inlineStr">
        <is>
          <t>超限&gt;10分钟扣1分/次</t>
        </is>
      </c>
      <c r="F14" s="13" t="n"/>
      <c r="G14" s="14" t="n"/>
      <c r="H14" s="15" t="n"/>
      <c r="I14" s="14" t="n"/>
      <c r="J14" s="15" t="n"/>
      <c r="K14" s="14" t="n"/>
      <c r="L14" s="15" t="n"/>
      <c r="M14" s="14" t="n"/>
      <c r="N14" s="15" t="n"/>
      <c r="O14" s="14" t="n"/>
      <c r="P14" s="15" t="n"/>
      <c r="Q14" s="14" t="n"/>
      <c r="R14" s="15" t="n"/>
      <c r="S14" s="14" t="n"/>
      <c r="T14" s="15" t="n"/>
      <c r="U14" s="14" t="n"/>
      <c r="V14" s="15" t="n"/>
      <c r="W14" s="14" t="n"/>
      <c r="X14" s="15" t="n"/>
      <c r="Y14" s="14" t="n"/>
      <c r="Z14" s="15" t="n"/>
      <c r="AA14" s="14" t="n"/>
      <c r="AB14" s="15" t="n"/>
      <c r="AC14" s="14" t="n"/>
      <c r="AD14" s="15" t="n"/>
      <c r="AE14" s="14" t="n"/>
      <c r="AF14" s="15" t="n"/>
      <c r="AG14" s="14" t="n"/>
      <c r="AH14" s="15" t="n"/>
      <c r="AI14" s="14" t="n"/>
      <c r="AJ14" s="15" t="n"/>
      <c r="AK14" s="14" t="n"/>
      <c r="AL14" s="15" t="n"/>
      <c r="AM14" s="14" t="n"/>
      <c r="AN14" s="15" t="n"/>
      <c r="AO14" s="14" t="n"/>
      <c r="AP14" s="15" t="n"/>
      <c r="AQ14" s="14" t="n"/>
      <c r="AR14" s="15" t="n"/>
      <c r="AS14" s="14" t="n"/>
      <c r="AT14" s="15" t="n"/>
      <c r="AU14" s="14" t="n"/>
      <c r="AV14" s="15" t="n"/>
      <c r="AW14" s="14" t="n"/>
      <c r="AX14" s="15" t="n"/>
      <c r="AY14" s="14" t="n"/>
      <c r="AZ14" s="15" t="n"/>
      <c r="BA14" s="14" t="n"/>
      <c r="BB14" s="15" t="n"/>
      <c r="BC14" s="14" t="n"/>
      <c r="BD14" s="15" t="n"/>
      <c r="BE14" s="14" t="n"/>
      <c r="BF14" s="15" t="n"/>
      <c r="BG14" s="14" t="n"/>
      <c r="BH14" s="15" t="n"/>
      <c r="BI14" s="14" t="n"/>
      <c r="BJ14" s="15" t="n"/>
      <c r="BK14" s="14" t="n"/>
      <c r="BL14" s="15" t="n"/>
      <c r="BM14" s="14" t="n"/>
    </row>
    <row r="15" ht="21.95" customHeight="1">
      <c r="A15" s="31" t="n">
        <v>12</v>
      </c>
      <c r="B15" s="31" t="inlineStr">
        <is>
          <t>TIC-117001</t>
        </is>
      </c>
      <c r="C15" s="31" t="inlineStr">
        <is>
          <t>280.3～281.7</t>
        </is>
      </c>
      <c r="D15" s="31" t="inlineStr">
        <is>
          <t>℃</t>
        </is>
      </c>
      <c r="E15" s="32" t="inlineStr">
        <is>
          <t>超限&gt;10分钟扣1分/次</t>
        </is>
      </c>
      <c r="F15" s="13" t="n"/>
      <c r="G15" s="14" t="n"/>
      <c r="H15" s="15" t="n"/>
      <c r="I15" s="14" t="n"/>
      <c r="J15" s="15" t="n"/>
      <c r="K15" s="14" t="n"/>
      <c r="L15" s="15" t="n"/>
      <c r="M15" s="14" t="n"/>
      <c r="N15" s="15" t="n"/>
      <c r="O15" s="14" t="n"/>
      <c r="P15" s="15" t="n"/>
      <c r="Q15" s="14" t="n"/>
      <c r="R15" s="15" t="n"/>
      <c r="S15" s="14" t="n"/>
      <c r="T15" s="15" t="n"/>
      <c r="U15" s="14" t="n"/>
      <c r="V15" s="15" t="n"/>
      <c r="W15" s="14" t="n"/>
      <c r="X15" s="15" t="n"/>
      <c r="Y15" s="14" t="n"/>
      <c r="Z15" s="15" t="n"/>
      <c r="AA15" s="14" t="n"/>
      <c r="AB15" s="15" t="n"/>
      <c r="AC15" s="14" t="n"/>
      <c r="AD15" s="15" t="n"/>
      <c r="AE15" s="14" t="n"/>
      <c r="AF15" s="15" t="n"/>
      <c r="AG15" s="14" t="n"/>
      <c r="AH15" s="15" t="n"/>
      <c r="AI15" s="14" t="n"/>
      <c r="AJ15" s="15" t="n"/>
      <c r="AK15" s="14" t="n"/>
      <c r="AL15" s="15" t="n"/>
      <c r="AM15" s="14" t="n"/>
      <c r="AN15" s="15" t="n"/>
      <c r="AO15" s="14" t="n"/>
      <c r="AP15" s="15" t="n"/>
      <c r="AQ15" s="14" t="n"/>
      <c r="AR15" s="15" t="n"/>
      <c r="AS15" s="14" t="n"/>
      <c r="AT15" s="15" t="n"/>
      <c r="AU15" s="14" t="n"/>
      <c r="AV15" s="15" t="n"/>
      <c r="AW15" s="14" t="n"/>
      <c r="AX15" s="15" t="n"/>
      <c r="AY15" s="14" t="n"/>
      <c r="AZ15" s="15" t="n"/>
      <c r="BA15" s="14" t="n"/>
      <c r="BB15" s="15" t="n"/>
      <c r="BC15" s="14" t="n"/>
      <c r="BD15" s="15" t="n"/>
      <c r="BE15" s="14" t="n"/>
      <c r="BF15" s="15" t="n"/>
      <c r="BG15" s="14" t="n"/>
      <c r="BH15" s="15" t="n"/>
      <c r="BI15" s="14" t="n"/>
      <c r="BJ15" s="15" t="n"/>
      <c r="BK15" s="14" t="n"/>
      <c r="BL15" s="15" t="n"/>
      <c r="BM15" s="14" t="n"/>
    </row>
    <row r="16" ht="21.95" customHeight="1">
      <c r="A16" s="31" t="n">
        <v>13</v>
      </c>
      <c r="B16" s="31" t="inlineStr">
        <is>
          <t>TIC-217001</t>
        </is>
      </c>
      <c r="C16" s="31" t="inlineStr">
        <is>
          <t>280.3～281.7</t>
        </is>
      </c>
      <c r="D16" s="31" t="inlineStr">
        <is>
          <t>℃</t>
        </is>
      </c>
      <c r="E16" s="32" t="inlineStr">
        <is>
          <t>超限&gt;10分钟扣1分/次</t>
        </is>
      </c>
      <c r="F16" s="13" t="n"/>
      <c r="G16" s="14" t="n"/>
      <c r="H16" s="15" t="n"/>
      <c r="I16" s="14" t="n"/>
      <c r="J16" s="15" t="n"/>
      <c r="K16" s="14" t="n"/>
      <c r="L16" s="15" t="n"/>
      <c r="M16" s="14" t="n"/>
      <c r="N16" s="15" t="n"/>
      <c r="O16" s="14" t="n"/>
      <c r="P16" s="15" t="n"/>
      <c r="Q16" s="14" t="n"/>
      <c r="R16" s="15" t="n"/>
      <c r="S16" s="14" t="n"/>
      <c r="T16" s="15" t="n"/>
      <c r="U16" s="14" t="n"/>
      <c r="V16" s="15" t="n"/>
      <c r="W16" s="14" t="n"/>
      <c r="X16" s="15" t="n"/>
      <c r="Y16" s="14" t="n"/>
      <c r="Z16" s="15" t="n"/>
      <c r="AA16" s="14" t="n"/>
      <c r="AB16" s="15" t="n"/>
      <c r="AC16" s="14" t="n"/>
      <c r="AD16" s="15" t="n"/>
      <c r="AE16" s="14" t="n"/>
      <c r="AF16" s="15" t="n"/>
      <c r="AG16" s="14" t="n"/>
      <c r="AH16" s="15" t="n"/>
      <c r="AI16" s="14" t="n"/>
      <c r="AJ16" s="15" t="n"/>
      <c r="AK16" s="14" t="n"/>
      <c r="AL16" s="15" t="n"/>
      <c r="AM16" s="14" t="n"/>
      <c r="AN16" s="15" t="n"/>
      <c r="AO16" s="14" t="n"/>
      <c r="AP16" s="15" t="n"/>
      <c r="AQ16" s="14" t="n"/>
      <c r="AR16" s="15" t="n"/>
      <c r="AS16" s="14" t="n"/>
      <c r="AT16" s="15" t="n"/>
      <c r="AU16" s="14" t="n"/>
      <c r="AV16" s="15" t="n"/>
      <c r="AW16" s="14" t="n"/>
      <c r="AX16" s="15" t="n"/>
      <c r="AY16" s="14" t="n"/>
      <c r="AZ16" s="15" t="n"/>
      <c r="BA16" s="14" t="n"/>
      <c r="BB16" s="15" t="n"/>
      <c r="BC16" s="14" t="n"/>
      <c r="BD16" s="15" t="n"/>
      <c r="BE16" s="14" t="n"/>
      <c r="BF16" s="15" t="n"/>
      <c r="BG16" s="14" t="n"/>
      <c r="BH16" s="15" t="n"/>
      <c r="BI16" s="14" t="n"/>
      <c r="BJ16" s="15" t="n"/>
      <c r="BK16" s="14" t="n"/>
      <c r="BL16" s="15" t="n"/>
      <c r="BM16" s="14" t="n"/>
    </row>
    <row r="17" ht="21.95" customHeight="1">
      <c r="A17" s="29" t="n">
        <v>14</v>
      </c>
      <c r="B17" s="29" t="inlineStr">
        <is>
          <t>TIA-023052</t>
        </is>
      </c>
      <c r="C17" s="29" t="inlineStr">
        <is>
          <t>110～140</t>
        </is>
      </c>
      <c r="D17" s="29" t="inlineStr">
        <is>
          <t>℃</t>
        </is>
      </c>
      <c r="E17" s="30" t="inlineStr">
        <is>
          <t>超限&gt;1小时扣1分/次</t>
        </is>
      </c>
      <c r="F17" s="13" t="n"/>
      <c r="G17" s="14" t="n"/>
      <c r="H17" s="15" t="n"/>
      <c r="I17" s="14" t="n"/>
      <c r="J17" s="15" t="n"/>
      <c r="K17" s="14" t="n"/>
      <c r="L17" s="15" t="n"/>
      <c r="M17" s="14" t="n"/>
      <c r="N17" s="15" t="n"/>
      <c r="O17" s="14" t="n"/>
      <c r="P17" s="15" t="n"/>
      <c r="Q17" s="14" t="n"/>
      <c r="R17" s="15" t="n"/>
      <c r="S17" s="14" t="n"/>
      <c r="T17" s="15" t="n"/>
      <c r="U17" s="14" t="n"/>
      <c r="V17" s="15" t="n"/>
      <c r="W17" s="14" t="n"/>
      <c r="X17" s="15" t="n"/>
      <c r="Y17" s="14" t="n"/>
      <c r="Z17" s="15" t="n"/>
      <c r="AA17" s="14" t="n"/>
      <c r="AB17" s="15" t="n"/>
      <c r="AC17" s="14" t="n"/>
      <c r="AD17" s="15" t="n"/>
      <c r="AE17" s="14" t="n"/>
      <c r="AF17" s="15" t="n"/>
      <c r="AG17" s="14" t="n"/>
      <c r="AH17" s="15" t="n"/>
      <c r="AI17" s="14" t="n"/>
      <c r="AJ17" s="15" t="n"/>
      <c r="AK17" s="14" t="n"/>
      <c r="AL17" s="15" t="n"/>
      <c r="AM17" s="14" t="n"/>
      <c r="AN17" s="15" t="n"/>
      <c r="AO17" s="14" t="n"/>
      <c r="AP17" s="15" t="n"/>
      <c r="AQ17" s="14" t="n"/>
      <c r="AR17" s="15" t="n"/>
      <c r="AS17" s="14" t="n"/>
      <c r="AT17" s="15" t="n"/>
      <c r="AU17" s="14" t="n"/>
      <c r="AV17" s="15" t="n"/>
      <c r="AW17" s="14" t="n"/>
      <c r="AX17" s="15" t="n"/>
      <c r="AY17" s="14" t="n"/>
      <c r="AZ17" s="15" t="n"/>
      <c r="BA17" s="14" t="n"/>
      <c r="BB17" s="15" t="n"/>
      <c r="BC17" s="14" t="n"/>
      <c r="BD17" s="15" t="n"/>
      <c r="BE17" s="14" t="n"/>
      <c r="BF17" s="15" t="n"/>
      <c r="BG17" s="14" t="n"/>
      <c r="BH17" s="15" t="n"/>
      <c r="BI17" s="14" t="n"/>
      <c r="BJ17" s="15" t="n"/>
      <c r="BK17" s="14" t="n"/>
      <c r="BL17" s="15" t="n"/>
      <c r="BM17" s="14" t="n"/>
    </row>
    <row r="18" ht="21.95" customHeight="1">
      <c r="A18" s="29" t="n">
        <v>15</v>
      </c>
      <c r="B18" s="29" t="inlineStr">
        <is>
          <t>TI-011003</t>
        </is>
      </c>
      <c r="C18" s="29" t="inlineStr">
        <is>
          <t>90～100</t>
        </is>
      </c>
      <c r="D18" s="29" t="inlineStr">
        <is>
          <t>℃</t>
        </is>
      </c>
      <c r="E18" s="30" t="inlineStr">
        <is>
          <t>超限&gt;10分钟扣3分/次</t>
        </is>
      </c>
      <c r="F18" s="13" t="n">
        <v>-12</v>
      </c>
      <c r="G18" s="14" t="n"/>
      <c r="H18" s="15" t="n">
        <v>-21</v>
      </c>
      <c r="I18" s="14" t="n">
        <v>-12</v>
      </c>
      <c r="J18" s="15" t="n">
        <v>-9</v>
      </c>
      <c r="K18" s="14" t="n"/>
      <c r="L18" s="15" t="n"/>
      <c r="M18" s="14" t="n"/>
      <c r="N18" s="15" t="n"/>
      <c r="O18" s="14" t="n"/>
      <c r="P18" s="15" t="n"/>
      <c r="Q18" s="14" t="n"/>
      <c r="R18" s="15" t="n"/>
      <c r="S18" s="14" t="n"/>
      <c r="T18" s="15" t="n"/>
      <c r="U18" s="14" t="n"/>
      <c r="V18" s="15" t="n"/>
      <c r="W18" s="14" t="n"/>
      <c r="X18" s="15" t="n"/>
      <c r="Y18" s="14" t="n"/>
      <c r="Z18" s="15" t="n"/>
      <c r="AA18" s="14" t="n"/>
      <c r="AB18" s="15" t="n"/>
      <c r="AC18" s="14" t="n"/>
      <c r="AD18" s="15" t="n"/>
      <c r="AE18" s="14" t="n"/>
      <c r="AF18" s="15" t="n"/>
      <c r="AG18" s="14" t="n"/>
      <c r="AH18" s="15" t="n"/>
      <c r="AI18" s="14" t="n"/>
      <c r="AJ18" s="15" t="n"/>
      <c r="AK18" s="14" t="n"/>
      <c r="AL18" s="15" t="n"/>
      <c r="AM18" s="14" t="n"/>
      <c r="AN18" s="15" t="n"/>
      <c r="AO18" s="14" t="n"/>
      <c r="AP18" s="15" t="n"/>
      <c r="AQ18" s="14" t="n"/>
      <c r="AR18" s="15" t="n"/>
      <c r="AS18" s="14" t="n"/>
      <c r="AT18" s="15" t="n"/>
      <c r="AU18" s="14" t="n"/>
      <c r="AV18" s="15" t="n"/>
      <c r="AW18" s="14" t="n"/>
      <c r="AX18" s="15" t="n"/>
      <c r="AY18" s="14" t="n"/>
      <c r="AZ18" s="15" t="n"/>
      <c r="BA18" s="14" t="n"/>
      <c r="BB18" s="15" t="n"/>
      <c r="BC18" s="14" t="n"/>
      <c r="BD18" s="15" t="n"/>
      <c r="BE18" s="14" t="n"/>
      <c r="BF18" s="15" t="n"/>
      <c r="BG18" s="14" t="n"/>
      <c r="BH18" s="15" t="n"/>
      <c r="BI18" s="14" t="n"/>
      <c r="BJ18" s="15" t="n"/>
      <c r="BK18" s="14" t="n"/>
      <c r="BL18" s="15" t="n"/>
      <c r="BM18" s="14" t="n"/>
    </row>
    <row r="19" ht="21.95" customHeight="1">
      <c r="A19" s="29" t="n">
        <v>16</v>
      </c>
      <c r="B19" s="29" t="inlineStr">
        <is>
          <t>VIT-118020</t>
        </is>
      </c>
      <c r="C19" s="29" t="inlineStr">
        <is>
          <t>0.641～0.643</t>
        </is>
      </c>
      <c r="D19" s="29" t="inlineStr">
        <is>
          <t>dl/g</t>
        </is>
      </c>
      <c r="E19" s="30" t="inlineStr">
        <is>
          <t>超限&gt;5分钟扣3分/次</t>
        </is>
      </c>
      <c r="F19" s="13" t="n"/>
      <c r="G19" s="14" t="n"/>
      <c r="H19" s="15" t="n">
        <v>-6</v>
      </c>
      <c r="I19" s="14" t="n"/>
      <c r="J19" s="15" t="n">
        <v>-3</v>
      </c>
      <c r="K19" s="14" t="n"/>
      <c r="L19" s="15" t="n"/>
      <c r="M19" s="14" t="n"/>
      <c r="N19" s="15" t="n"/>
      <c r="O19" s="14" t="n"/>
      <c r="P19" s="15" t="n"/>
      <c r="Q19" s="14" t="n"/>
      <c r="R19" s="15" t="n"/>
      <c r="S19" s="14" t="n"/>
      <c r="T19" s="15" t="n"/>
      <c r="U19" s="14" t="n"/>
      <c r="V19" s="15" t="n"/>
      <c r="W19" s="14" t="n"/>
      <c r="X19" s="15" t="n"/>
      <c r="Y19" s="14" t="n"/>
      <c r="Z19" s="15" t="n"/>
      <c r="AA19" s="14" t="n"/>
      <c r="AB19" s="15" t="n"/>
      <c r="AC19" s="14" t="n"/>
      <c r="AD19" s="15" t="n"/>
      <c r="AE19" s="14" t="n"/>
      <c r="AF19" s="15" t="n"/>
      <c r="AG19" s="14" t="n"/>
      <c r="AH19" s="15" t="n"/>
      <c r="AI19" s="14" t="n"/>
      <c r="AJ19" s="15" t="n"/>
      <c r="AK19" s="14" t="n"/>
      <c r="AL19" s="15" t="n"/>
      <c r="AM19" s="14" t="n"/>
      <c r="AN19" s="15" t="n"/>
      <c r="AO19" s="14" t="n"/>
      <c r="AP19" s="15" t="n"/>
      <c r="AQ19" s="14" t="n"/>
      <c r="AR19" s="15" t="n"/>
      <c r="AS19" s="14" t="n"/>
      <c r="AT19" s="15" t="n"/>
      <c r="AU19" s="14" t="n"/>
      <c r="AV19" s="15" t="n"/>
      <c r="AW19" s="14" t="n"/>
      <c r="AX19" s="15" t="n"/>
      <c r="AY19" s="14" t="n"/>
      <c r="AZ19" s="15" t="n"/>
      <c r="BA19" s="14" t="n"/>
      <c r="BB19" s="15" t="n"/>
      <c r="BC19" s="14" t="n"/>
      <c r="BD19" s="15" t="n"/>
      <c r="BE19" s="14" t="n"/>
      <c r="BF19" s="15" t="n"/>
      <c r="BG19" s="14" t="n"/>
      <c r="BH19" s="15" t="n"/>
      <c r="BI19" s="14" t="n"/>
      <c r="BJ19" s="15" t="n"/>
      <c r="BK19" s="14" t="n"/>
      <c r="BL19" s="15" t="n"/>
      <c r="BM19" s="14" t="n"/>
    </row>
    <row r="20" ht="21.95" customHeight="1">
      <c r="A20" s="29" t="n">
        <v>17</v>
      </c>
      <c r="B20" s="29" t="inlineStr">
        <is>
          <t>EU-II-217R011</t>
        </is>
      </c>
      <c r="C20" s="29" t="inlineStr">
        <is>
          <t>82.5～85.5</t>
        </is>
      </c>
      <c r="D20" s="29" t="inlineStr">
        <is>
          <t>%</t>
        </is>
      </c>
      <c r="E20" s="30" t="inlineStr">
        <is>
          <t>超限&gt;5分钟扣2分/次</t>
        </is>
      </c>
      <c r="F20" s="13" t="n"/>
      <c r="G20" s="14" t="n"/>
      <c r="H20" s="15" t="n"/>
      <c r="I20" s="14" t="n"/>
      <c r="J20" s="15" t="n"/>
      <c r="K20" s="14" t="n"/>
      <c r="L20" s="15" t="n"/>
      <c r="M20" s="14" t="n"/>
      <c r="N20" s="15" t="n"/>
      <c r="O20" s="14" t="n"/>
      <c r="P20" s="15" t="n"/>
      <c r="Q20" s="14" t="n"/>
      <c r="R20" s="15" t="n"/>
      <c r="S20" s="14" t="n"/>
      <c r="T20" s="15" t="n"/>
      <c r="U20" s="14" t="n"/>
      <c r="V20" s="15" t="n"/>
      <c r="W20" s="14" t="n"/>
      <c r="X20" s="15" t="n"/>
      <c r="Y20" s="14" t="n"/>
      <c r="Z20" s="15" t="n"/>
      <c r="AA20" s="14" t="n"/>
      <c r="AB20" s="15" t="n"/>
      <c r="AC20" s="14" t="n"/>
      <c r="AD20" s="15" t="n"/>
      <c r="AE20" s="14" t="n"/>
      <c r="AF20" s="15" t="n"/>
      <c r="AG20" s="14" t="n"/>
      <c r="AH20" s="15" t="n"/>
      <c r="AI20" s="14" t="n"/>
      <c r="AJ20" s="15" t="n"/>
      <c r="AK20" s="14" t="n"/>
      <c r="AL20" s="15" t="n"/>
      <c r="AM20" s="14" t="n"/>
      <c r="AN20" s="15" t="n"/>
      <c r="AO20" s="14" t="n"/>
      <c r="AP20" s="15" t="n"/>
      <c r="AQ20" s="14" t="n"/>
      <c r="AR20" s="15" t="n"/>
      <c r="AS20" s="14" t="n"/>
      <c r="AT20" s="15" t="n"/>
      <c r="AU20" s="14" t="n"/>
      <c r="AV20" s="15" t="n"/>
      <c r="AW20" s="14" t="n"/>
      <c r="AX20" s="15" t="n"/>
      <c r="AY20" s="14" t="n"/>
      <c r="AZ20" s="15" t="n"/>
      <c r="BA20" s="14" t="n"/>
      <c r="BB20" s="15" t="n"/>
      <c r="BC20" s="14" t="n"/>
      <c r="BD20" s="15" t="n"/>
      <c r="BE20" s="14" t="n"/>
      <c r="BF20" s="15" t="n"/>
      <c r="BG20" s="14" t="n"/>
      <c r="BH20" s="15" t="n"/>
      <c r="BI20" s="14" t="n"/>
      <c r="BJ20" s="15" t="n"/>
      <c r="BK20" s="14" t="n"/>
      <c r="BL20" s="15" t="n"/>
      <c r="BM20" s="14" t="n"/>
    </row>
    <row r="21" ht="21.95" customHeight="1">
      <c r="A21" s="29" t="n">
        <v>18</v>
      </c>
      <c r="B21" s="29" t="inlineStr">
        <is>
          <t>EU-II-117R011</t>
        </is>
      </c>
      <c r="C21" s="29" t="inlineStr">
        <is>
          <t>81.5～84.5</t>
        </is>
      </c>
      <c r="D21" s="29" t="inlineStr">
        <is>
          <t>%</t>
        </is>
      </c>
      <c r="E21" s="30" t="inlineStr">
        <is>
          <t>超限&gt;5分钟扣2分/次</t>
        </is>
      </c>
      <c r="F21" s="13" t="n"/>
      <c r="G21" s="14" t="n"/>
      <c r="H21" s="15" t="n"/>
      <c r="I21" s="14" t="n"/>
      <c r="J21" s="15" t="n"/>
      <c r="K21" s="14" t="n"/>
      <c r="L21" s="15" t="n"/>
      <c r="M21" s="14" t="n"/>
      <c r="N21" s="15" t="n"/>
      <c r="O21" s="14" t="n"/>
      <c r="P21" s="15" t="n"/>
      <c r="Q21" s="14" t="n"/>
      <c r="R21" s="15" t="n"/>
      <c r="S21" s="14" t="n"/>
      <c r="T21" s="15" t="n"/>
      <c r="U21" s="14" t="n"/>
      <c r="V21" s="15" t="n"/>
      <c r="W21" s="14" t="n"/>
      <c r="X21" s="15" t="n"/>
      <c r="Y21" s="14" t="n"/>
      <c r="Z21" s="15" t="n"/>
      <c r="AA21" s="14" t="n"/>
      <c r="AB21" s="15" t="n"/>
      <c r="AC21" s="14" t="n"/>
      <c r="AD21" s="15" t="n"/>
      <c r="AE21" s="14" t="n"/>
      <c r="AF21" s="15" t="n"/>
      <c r="AG21" s="14" t="n"/>
      <c r="AH21" s="15" t="n"/>
      <c r="AI21" s="14" t="n"/>
      <c r="AJ21" s="15" t="n"/>
      <c r="AK21" s="14" t="n"/>
      <c r="AL21" s="15" t="n"/>
      <c r="AM21" s="14" t="n"/>
      <c r="AN21" s="15" t="n"/>
      <c r="AO21" s="14" t="n"/>
      <c r="AP21" s="15" t="n"/>
      <c r="AQ21" s="14" t="n"/>
      <c r="AR21" s="15" t="n"/>
      <c r="AS21" s="14" t="n"/>
      <c r="AT21" s="15" t="n"/>
      <c r="AU21" s="14" t="n"/>
      <c r="AV21" s="15" t="n"/>
      <c r="AW21" s="14" t="n"/>
      <c r="AX21" s="15" t="n"/>
      <c r="AY21" s="14" t="n"/>
      <c r="AZ21" s="15" t="n"/>
      <c r="BA21" s="14" t="n"/>
      <c r="BB21" s="15" t="n"/>
      <c r="BC21" s="14" t="n"/>
      <c r="BD21" s="15" t="n"/>
      <c r="BE21" s="14" t="n"/>
      <c r="BF21" s="15" t="n"/>
      <c r="BG21" s="14" t="n"/>
      <c r="BH21" s="15" t="n"/>
      <c r="BI21" s="14" t="n"/>
      <c r="BJ21" s="15" t="n"/>
      <c r="BK21" s="14" t="n"/>
      <c r="BL21" s="15" t="n"/>
      <c r="BM21" s="14" t="n"/>
    </row>
    <row r="22" ht="21.95" customHeight="1">
      <c r="A22" s="29" t="n">
        <v>19</v>
      </c>
      <c r="B22" s="29" t="inlineStr">
        <is>
          <t>WIC-011006</t>
        </is>
      </c>
      <c r="C22" s="29" t="inlineStr">
        <is>
          <t>69.4～69.6</t>
        </is>
      </c>
      <c r="D22" s="29" t="inlineStr">
        <is>
          <t>%</t>
        </is>
      </c>
      <c r="E22" s="30" t="inlineStr">
        <is>
          <t>超限&gt;5分钟扣2分/次</t>
        </is>
      </c>
      <c r="F22" s="13" t="n"/>
      <c r="G22" s="14" t="n"/>
      <c r="H22" s="15" t="n"/>
      <c r="I22" s="14" t="n"/>
      <c r="J22" s="15" t="n"/>
      <c r="K22" s="14" t="n"/>
      <c r="L22" s="15" t="n"/>
      <c r="M22" s="14" t="n"/>
      <c r="N22" s="15" t="n"/>
      <c r="O22" s="14" t="n"/>
      <c r="P22" s="15" t="n"/>
      <c r="Q22" s="14" t="n"/>
      <c r="R22" s="15" t="n"/>
      <c r="S22" s="14" t="n"/>
      <c r="T22" s="15" t="n"/>
      <c r="U22" s="14" t="n"/>
      <c r="V22" s="15" t="n"/>
      <c r="W22" s="14" t="n"/>
      <c r="X22" s="15" t="n"/>
      <c r="Y22" s="14" t="n"/>
      <c r="Z22" s="15" t="n"/>
      <c r="AA22" s="14" t="n"/>
      <c r="AB22" s="15" t="n"/>
      <c r="AC22" s="14" t="n"/>
      <c r="AD22" s="15" t="n"/>
      <c r="AE22" s="14" t="n"/>
      <c r="AF22" s="15" t="n"/>
      <c r="AG22" s="14" t="n"/>
      <c r="AH22" s="15" t="n"/>
      <c r="AI22" s="14" t="n"/>
      <c r="AJ22" s="15" t="n"/>
      <c r="AK22" s="14" t="n"/>
      <c r="AL22" s="15" t="n"/>
      <c r="AM22" s="14" t="n"/>
      <c r="AN22" s="15" t="n"/>
      <c r="AO22" s="14" t="n"/>
      <c r="AP22" s="15" t="n"/>
      <c r="AQ22" s="14" t="n"/>
      <c r="AR22" s="15" t="n"/>
      <c r="AS22" s="14" t="n"/>
      <c r="AT22" s="15" t="n"/>
      <c r="AU22" s="14" t="n"/>
      <c r="AV22" s="15" t="n"/>
      <c r="AW22" s="14" t="n"/>
      <c r="AX22" s="15" t="n"/>
      <c r="AY22" s="14" t="n"/>
      <c r="AZ22" s="15" t="n"/>
      <c r="BA22" s="14" t="n"/>
      <c r="BB22" s="15" t="n"/>
      <c r="BC22" s="14" t="n"/>
      <c r="BD22" s="15" t="n"/>
      <c r="BE22" s="14" t="n"/>
      <c r="BF22" s="15" t="n"/>
      <c r="BG22" s="14" t="n"/>
      <c r="BH22" s="15" t="n"/>
      <c r="BI22" s="14" t="n"/>
      <c r="BJ22" s="15" t="n"/>
      <c r="BK22" s="14" t="n"/>
      <c r="BL22" s="15" t="n"/>
      <c r="BM22" s="14" t="n"/>
    </row>
    <row r="23" ht="21.95" customHeight="1">
      <c r="A23" s="29" t="n">
        <v>20</v>
      </c>
      <c r="B23" s="29" t="inlineStr">
        <is>
          <t>LIC-011007</t>
        </is>
      </c>
      <c r="C23" s="29" t="inlineStr">
        <is>
          <t>83～85</t>
        </is>
      </c>
      <c r="D23" s="29" t="inlineStr">
        <is>
          <t>%</t>
        </is>
      </c>
      <c r="E23" s="30" t="inlineStr">
        <is>
          <t>超限&gt;5分钟扣2分/次</t>
        </is>
      </c>
      <c r="F23" s="13" t="n"/>
      <c r="G23" s="14" t="n"/>
      <c r="H23" s="15" t="n"/>
      <c r="I23" s="14" t="n"/>
      <c r="J23" s="15" t="n"/>
      <c r="K23" s="14" t="n"/>
      <c r="L23" s="15" t="n"/>
      <c r="M23" s="14" t="n"/>
      <c r="N23" s="15" t="n"/>
      <c r="O23" s="14" t="n"/>
      <c r="P23" s="15" t="n"/>
      <c r="Q23" s="14" t="n"/>
      <c r="R23" s="15" t="n"/>
      <c r="S23" s="14" t="n"/>
      <c r="T23" s="15" t="n"/>
      <c r="U23" s="14" t="n"/>
      <c r="V23" s="15" t="n"/>
      <c r="W23" s="14" t="n"/>
      <c r="X23" s="15" t="n"/>
      <c r="Y23" s="14" t="n"/>
      <c r="Z23" s="15" t="n"/>
      <c r="AA23" s="14" t="n"/>
      <c r="AB23" s="15" t="n"/>
      <c r="AC23" s="14" t="n"/>
      <c r="AD23" s="15" t="n"/>
      <c r="AE23" s="14" t="n"/>
      <c r="AF23" s="15" t="n"/>
      <c r="AG23" s="14" t="n"/>
      <c r="AH23" s="15" t="n"/>
      <c r="AI23" s="14" t="n"/>
      <c r="AJ23" s="15" t="n"/>
      <c r="AK23" s="14" t="n"/>
      <c r="AL23" s="15" t="n"/>
      <c r="AM23" s="14" t="n"/>
      <c r="AN23" s="15" t="n"/>
      <c r="AO23" s="14" t="n"/>
      <c r="AP23" s="15" t="n"/>
      <c r="AQ23" s="14" t="n"/>
      <c r="AR23" s="15" t="n"/>
      <c r="AS23" s="14" t="n"/>
      <c r="AT23" s="15" t="n"/>
      <c r="AU23" s="14" t="n"/>
      <c r="AV23" s="15" t="n"/>
      <c r="AW23" s="14" t="n"/>
      <c r="AX23" s="15" t="n"/>
      <c r="AY23" s="14" t="n"/>
      <c r="AZ23" s="15" t="n"/>
      <c r="BA23" s="14" t="n"/>
      <c r="BB23" s="15" t="n"/>
      <c r="BC23" s="14" t="n"/>
      <c r="BD23" s="15" t="n"/>
      <c r="BE23" s="14" t="n"/>
      <c r="BF23" s="15" t="n"/>
      <c r="BG23" s="14" t="n"/>
      <c r="BH23" s="15" t="n"/>
      <c r="BI23" s="14" t="n"/>
      <c r="BJ23" s="15" t="n"/>
      <c r="BK23" s="14" t="n"/>
      <c r="BL23" s="15" t="n"/>
      <c r="BM23" s="14" t="n"/>
    </row>
    <row r="24" ht="21.95" customHeight="1">
      <c r="A24" s="29" t="n">
        <v>21</v>
      </c>
      <c r="B24" s="29" t="inlineStr">
        <is>
          <t>PI-2311001</t>
        </is>
      </c>
      <c r="C24" s="29" t="inlineStr">
        <is>
          <t>15.95～16.25</t>
        </is>
      </c>
      <c r="D24" s="29" t="inlineStr">
        <is>
          <t>MPa</t>
        </is>
      </c>
      <c r="E24" s="30" t="inlineStr">
        <is>
          <t>超限&gt;10分钟扣2分/次</t>
        </is>
      </c>
      <c r="F24" s="13" t="n">
        <v>-2</v>
      </c>
      <c r="G24" s="14" t="n"/>
      <c r="H24" s="15" t="n">
        <v>-2</v>
      </c>
      <c r="I24" s="14" t="n">
        <v>-2</v>
      </c>
      <c r="J24" s="15" t="n">
        <v>-6</v>
      </c>
      <c r="K24" s="14" t="n"/>
      <c r="L24" s="15" t="n"/>
      <c r="M24" s="14" t="n"/>
      <c r="N24" s="15" t="n"/>
      <c r="O24" s="14" t="n"/>
      <c r="P24" s="15" t="n"/>
      <c r="Q24" s="14" t="n"/>
      <c r="R24" s="15" t="n"/>
      <c r="S24" s="14" t="n"/>
      <c r="T24" s="15" t="n"/>
      <c r="U24" s="14" t="n"/>
      <c r="V24" s="15" t="n"/>
      <c r="W24" s="14" t="n"/>
      <c r="X24" s="15" t="n"/>
      <c r="Y24" s="14" t="n"/>
      <c r="Z24" s="15" t="n"/>
      <c r="AA24" s="14" t="n"/>
      <c r="AB24" s="15" t="n"/>
      <c r="AC24" s="14" t="n"/>
      <c r="AD24" s="15" t="n"/>
      <c r="AE24" s="14" t="n"/>
      <c r="AF24" s="15" t="n"/>
      <c r="AG24" s="14" t="n"/>
      <c r="AH24" s="15" t="n"/>
      <c r="AI24" s="14" t="n"/>
      <c r="AJ24" s="15" t="n"/>
      <c r="AK24" s="14" t="n"/>
      <c r="AL24" s="15" t="n"/>
      <c r="AM24" s="14" t="n"/>
      <c r="AN24" s="15" t="n"/>
      <c r="AO24" s="14" t="n"/>
      <c r="AP24" s="15" t="n"/>
      <c r="AQ24" s="14" t="n"/>
      <c r="AR24" s="15" t="n"/>
      <c r="AS24" s="14" t="n"/>
      <c r="AT24" s="15" t="n"/>
      <c r="AU24" s="14" t="n"/>
      <c r="AV24" s="15" t="n"/>
      <c r="AW24" s="14" t="n"/>
      <c r="AX24" s="15" t="n"/>
      <c r="AY24" s="14" t="n"/>
      <c r="AZ24" s="15" t="n"/>
      <c r="BA24" s="14" t="n"/>
      <c r="BB24" s="15" t="n"/>
      <c r="BC24" s="14" t="n"/>
      <c r="BD24" s="15" t="n"/>
      <c r="BE24" s="14" t="n"/>
      <c r="BF24" s="15" t="n"/>
      <c r="BG24" s="14" t="n"/>
      <c r="BH24" s="15" t="n"/>
      <c r="BI24" s="14" t="n"/>
      <c r="BJ24" s="15" t="n"/>
      <c r="BK24" s="14" t="n"/>
      <c r="BL24" s="15" t="n"/>
      <c r="BM24" s="14" t="n"/>
    </row>
    <row r="25" ht="21.95" customHeight="1">
      <c r="A25" s="29" t="n">
        <v>22</v>
      </c>
      <c r="B25" s="29" t="inlineStr">
        <is>
          <t>SLURRY_FLOW_BALANCE</t>
        </is>
      </c>
      <c r="C25" s="29" t="inlineStr">
        <is>
          <t>-15～15</t>
        </is>
      </c>
      <c r="D25" s="29" t="inlineStr">
        <is>
          <t>偏差</t>
        </is>
      </c>
      <c r="E25" s="30" t="inlineStr">
        <is>
          <t>偏差超限&gt;5分钟扣2分/次</t>
        </is>
      </c>
      <c r="F25" s="13" t="n">
        <v>-24</v>
      </c>
      <c r="G25" s="14" t="n">
        <v>-46</v>
      </c>
      <c r="H25" s="15" t="n">
        <v>-46</v>
      </c>
      <c r="I25" s="14" t="n"/>
      <c r="J25" s="15" t="n">
        <v>-56</v>
      </c>
      <c r="K25" s="14" t="n"/>
      <c r="L25" s="15" t="n"/>
      <c r="M25" s="14" t="n"/>
      <c r="N25" s="15" t="n"/>
      <c r="O25" s="14" t="n"/>
      <c r="P25" s="15" t="n"/>
      <c r="Q25" s="14" t="n"/>
      <c r="R25" s="15" t="n"/>
      <c r="S25" s="14" t="n"/>
      <c r="T25" s="15" t="n"/>
      <c r="U25" s="14" t="n"/>
      <c r="V25" s="15" t="n"/>
      <c r="W25" s="14" t="n"/>
      <c r="X25" s="15" t="n"/>
      <c r="Y25" s="14" t="n"/>
      <c r="Z25" s="15" t="n"/>
      <c r="AA25" s="14" t="n"/>
      <c r="AB25" s="15" t="n"/>
      <c r="AC25" s="14" t="n"/>
      <c r="AD25" s="15" t="n"/>
      <c r="AE25" s="14" t="n"/>
      <c r="AF25" s="15" t="n"/>
      <c r="AG25" s="14" t="n"/>
      <c r="AH25" s="15" t="n"/>
      <c r="AI25" s="14" t="n"/>
      <c r="AJ25" s="15" t="n"/>
      <c r="AK25" s="14" t="n"/>
      <c r="AL25" s="15" t="n"/>
      <c r="AM25" s="14" t="n"/>
      <c r="AN25" s="15" t="n"/>
      <c r="AO25" s="14" t="n"/>
      <c r="AP25" s="15" t="n"/>
      <c r="AQ25" s="14" t="n"/>
      <c r="AR25" s="15" t="n"/>
      <c r="AS25" s="14" t="n"/>
      <c r="AT25" s="15" t="n"/>
      <c r="AU25" s="14" t="n"/>
      <c r="AV25" s="15" t="n"/>
      <c r="AW25" s="14" t="n"/>
      <c r="AX25" s="15" t="n"/>
      <c r="AY25" s="14" t="n"/>
      <c r="AZ25" s="15" t="n"/>
      <c r="BA25" s="14" t="n"/>
      <c r="BB25" s="15" t="n"/>
      <c r="BC25" s="14" t="n"/>
      <c r="BD25" s="15" t="n"/>
      <c r="BE25" s="14" t="n"/>
      <c r="BF25" s="15" t="n"/>
      <c r="BG25" s="14" t="n"/>
      <c r="BH25" s="15" t="n"/>
      <c r="BI25" s="14" t="n"/>
      <c r="BJ25" s="15" t="n"/>
      <c r="BK25" s="14" t="n"/>
      <c r="BL25" s="15" t="n"/>
      <c r="BM25" s="14" t="n"/>
    </row>
    <row r="26" ht="21.95" customHeight="1">
      <c r="A26" s="29" t="n">
        <v>23</v>
      </c>
      <c r="B26" s="29" t="inlineStr">
        <is>
          <t>LICA-012019</t>
        </is>
      </c>
      <c r="C26" s="29" t="inlineStr">
        <is>
          <t>-0.14～0.14</t>
        </is>
      </c>
      <c r="D26" s="29" t="inlineStr">
        <is>
          <t>%/h</t>
        </is>
      </c>
      <c r="E26" s="30" t="inlineStr">
        <is>
          <t>速率超限&gt;2小时扣2分/次</t>
        </is>
      </c>
      <c r="F26" s="13" t="n"/>
      <c r="G26" s="14" t="n"/>
      <c r="H26" s="15" t="n"/>
      <c r="I26" s="14" t="n"/>
      <c r="J26" s="15" t="n"/>
      <c r="K26" s="14" t="n"/>
      <c r="L26" s="15" t="n"/>
      <c r="M26" s="14" t="n"/>
      <c r="N26" s="15" t="n"/>
      <c r="O26" s="14" t="n"/>
      <c r="P26" s="15" t="n"/>
      <c r="Q26" s="14" t="n"/>
      <c r="R26" s="15" t="n"/>
      <c r="S26" s="14" t="n"/>
      <c r="T26" s="15" t="n"/>
      <c r="U26" s="14" t="n"/>
      <c r="V26" s="15" t="n"/>
      <c r="W26" s="14" t="n"/>
      <c r="X26" s="15" t="n"/>
      <c r="Y26" s="14" t="n"/>
      <c r="Z26" s="15" t="n"/>
      <c r="AA26" s="14" t="n"/>
      <c r="AB26" s="15" t="n"/>
      <c r="AC26" s="14" t="n"/>
      <c r="AD26" s="15" t="n"/>
      <c r="AE26" s="14" t="n"/>
      <c r="AF26" s="15" t="n"/>
      <c r="AG26" s="14" t="n"/>
      <c r="AH26" s="15" t="n"/>
      <c r="AI26" s="14" t="n"/>
      <c r="AJ26" s="15" t="n"/>
      <c r="AK26" s="14" t="n"/>
      <c r="AL26" s="15" t="n"/>
      <c r="AM26" s="14" t="n"/>
      <c r="AN26" s="15" t="n"/>
      <c r="AO26" s="14" t="n"/>
      <c r="AP26" s="15" t="n"/>
      <c r="AQ26" s="14" t="n"/>
      <c r="AR26" s="15" t="n"/>
      <c r="AS26" s="14" t="n"/>
      <c r="AT26" s="15" t="n"/>
      <c r="AU26" s="14" t="n"/>
      <c r="AV26" s="15" t="n"/>
      <c r="AW26" s="14" t="n"/>
      <c r="AX26" s="15" t="n"/>
      <c r="AY26" s="14" t="n"/>
      <c r="AZ26" s="15" t="n"/>
      <c r="BA26" s="14" t="n"/>
      <c r="BB26" s="15" t="n"/>
      <c r="BC26" s="14" t="n"/>
      <c r="BD26" s="15" t="n"/>
      <c r="BE26" s="14" t="n"/>
      <c r="BF26" s="15" t="n"/>
      <c r="BG26" s="14" t="n"/>
      <c r="BH26" s="15" t="n"/>
      <c r="BI26" s="14" t="n"/>
      <c r="BJ26" s="15" t="n"/>
      <c r="BK26" s="14" t="n"/>
      <c r="BL26" s="15" t="n"/>
      <c r="BM26" s="14" t="n"/>
    </row>
    <row r="27" ht="21.95" customHeight="1">
      <c r="A27" s="33" t="n">
        <v>24</v>
      </c>
      <c r="B27" s="33" t="inlineStr">
        <is>
          <t>LA-115077</t>
        </is>
      </c>
      <c r="C27" s="33" t="inlineStr">
        <is>
          <t>0（高报=1）</t>
        </is>
      </c>
      <c r="D27" s="33" t="inlineStr">
        <is>
          <t>状态</t>
        </is>
      </c>
      <c r="E27" s="34" t="inlineStr">
        <is>
          <t>高报&gt;5分钟扣1分/次</t>
        </is>
      </c>
      <c r="F27" s="13" t="n"/>
      <c r="G27" s="14" t="n"/>
      <c r="H27" s="15" t="n"/>
      <c r="I27" s="14" t="n"/>
      <c r="J27" s="15" t="n"/>
      <c r="K27" s="14" t="n"/>
      <c r="L27" s="15" t="n"/>
      <c r="M27" s="14" t="n"/>
      <c r="N27" s="15" t="n"/>
      <c r="O27" s="14" t="n"/>
      <c r="P27" s="15" t="n"/>
      <c r="Q27" s="14" t="n"/>
      <c r="R27" s="15" t="n"/>
      <c r="S27" s="14" t="n"/>
      <c r="T27" s="15" t="n"/>
      <c r="U27" s="14" t="n"/>
      <c r="V27" s="15" t="n"/>
      <c r="W27" s="14" t="n"/>
      <c r="X27" s="15" t="n"/>
      <c r="Y27" s="14" t="n"/>
      <c r="Z27" s="15" t="n"/>
      <c r="AA27" s="14" t="n"/>
      <c r="AB27" s="15" t="n"/>
      <c r="AC27" s="14" t="n"/>
      <c r="AD27" s="15" t="n"/>
      <c r="AE27" s="14" t="n"/>
      <c r="AF27" s="15" t="n"/>
      <c r="AG27" s="14" t="n"/>
      <c r="AH27" s="15" t="n"/>
      <c r="AI27" s="14" t="n"/>
      <c r="AJ27" s="15" t="n"/>
      <c r="AK27" s="14" t="n"/>
      <c r="AL27" s="15" t="n"/>
      <c r="AM27" s="14" t="n"/>
      <c r="AN27" s="15" t="n"/>
      <c r="AO27" s="14" t="n"/>
      <c r="AP27" s="15" t="n"/>
      <c r="AQ27" s="14" t="n"/>
      <c r="AR27" s="15" t="n"/>
      <c r="AS27" s="14" t="n"/>
      <c r="AT27" s="15" t="n"/>
      <c r="AU27" s="14" t="n"/>
      <c r="AV27" s="15" t="n"/>
      <c r="AW27" s="14" t="n"/>
      <c r="AX27" s="15" t="n"/>
      <c r="AY27" s="14" t="n"/>
      <c r="AZ27" s="15" t="n"/>
      <c r="BA27" s="14" t="n"/>
      <c r="BB27" s="15" t="n"/>
      <c r="BC27" s="14" t="n"/>
      <c r="BD27" s="15" t="n"/>
      <c r="BE27" s="14" t="n"/>
      <c r="BF27" s="15" t="n"/>
      <c r="BG27" s="14" t="n"/>
      <c r="BH27" s="15" t="n"/>
      <c r="BI27" s="14" t="n"/>
      <c r="BJ27" s="15" t="n"/>
      <c r="BK27" s="14" t="n"/>
      <c r="BL27" s="15" t="n"/>
      <c r="BM27" s="14" t="n"/>
    </row>
    <row r="28" ht="21.95" customHeight="1">
      <c r="A28" s="33" t="n">
        <v>25</v>
      </c>
      <c r="B28" s="33" t="inlineStr">
        <is>
          <t>LA-115177</t>
        </is>
      </c>
      <c r="C28" s="33" t="inlineStr">
        <is>
          <t>0（高报=1）</t>
        </is>
      </c>
      <c r="D28" s="33" t="inlineStr">
        <is>
          <t>状态</t>
        </is>
      </c>
      <c r="E28" s="34" t="inlineStr">
        <is>
          <t>高报&gt;5分钟扣1分/次</t>
        </is>
      </c>
      <c r="F28" s="13" t="n"/>
      <c r="G28" s="14" t="n"/>
      <c r="H28" s="15" t="n"/>
      <c r="I28" s="14" t="n"/>
      <c r="J28" s="15" t="n"/>
      <c r="K28" s="14" t="n"/>
      <c r="L28" s="15" t="n"/>
      <c r="M28" s="14" t="n"/>
      <c r="N28" s="15" t="n"/>
      <c r="O28" s="14" t="n"/>
      <c r="P28" s="15" t="n"/>
      <c r="Q28" s="14" t="n"/>
      <c r="R28" s="15" t="n"/>
      <c r="S28" s="14" t="n"/>
      <c r="T28" s="15" t="n"/>
      <c r="U28" s="14" t="n"/>
      <c r="V28" s="15" t="n"/>
      <c r="W28" s="14" t="n"/>
      <c r="X28" s="15" t="n"/>
      <c r="Y28" s="14" t="n"/>
      <c r="Z28" s="15" t="n"/>
      <c r="AA28" s="14" t="n"/>
      <c r="AB28" s="15" t="n"/>
      <c r="AC28" s="14" t="n"/>
      <c r="AD28" s="15" t="n"/>
      <c r="AE28" s="14" t="n"/>
      <c r="AF28" s="15" t="n"/>
      <c r="AG28" s="14" t="n"/>
      <c r="AH28" s="15" t="n"/>
      <c r="AI28" s="14" t="n"/>
      <c r="AJ28" s="15" t="n"/>
      <c r="AK28" s="14" t="n"/>
      <c r="AL28" s="15" t="n"/>
      <c r="AM28" s="14" t="n"/>
      <c r="AN28" s="15" t="n"/>
      <c r="AO28" s="14" t="n"/>
      <c r="AP28" s="15" t="n"/>
      <c r="AQ28" s="14" t="n"/>
      <c r="AR28" s="15" t="n"/>
      <c r="AS28" s="14" t="n"/>
      <c r="AT28" s="15" t="n"/>
      <c r="AU28" s="14" t="n"/>
      <c r="AV28" s="15" t="n"/>
      <c r="AW28" s="14" t="n"/>
      <c r="AX28" s="15" t="n"/>
      <c r="AY28" s="14" t="n"/>
      <c r="AZ28" s="15" t="n"/>
      <c r="BA28" s="14" t="n"/>
      <c r="BB28" s="15" t="n"/>
      <c r="BC28" s="14" t="n"/>
      <c r="BD28" s="15" t="n"/>
      <c r="BE28" s="14" t="n"/>
      <c r="BF28" s="15" t="n"/>
      <c r="BG28" s="14" t="n"/>
      <c r="BH28" s="15" t="n"/>
      <c r="BI28" s="14" t="n"/>
      <c r="BJ28" s="15" t="n"/>
      <c r="BK28" s="14" t="n"/>
      <c r="BL28" s="15" t="n"/>
      <c r="BM28" s="14" t="n"/>
    </row>
    <row r="29" ht="21.95" customHeight="1">
      <c r="A29" s="33" t="n">
        <v>26</v>
      </c>
      <c r="B29" s="33" t="inlineStr">
        <is>
          <t>LA-117075</t>
        </is>
      </c>
      <c r="C29" s="33" t="inlineStr">
        <is>
          <t>0（高报=1）</t>
        </is>
      </c>
      <c r="D29" s="33" t="inlineStr">
        <is>
          <t>状态</t>
        </is>
      </c>
      <c r="E29" s="34" t="inlineStr">
        <is>
          <t>高报&gt;5分钟扣1分/次</t>
        </is>
      </c>
      <c r="F29" s="13" t="n"/>
      <c r="G29" s="14" t="n"/>
      <c r="H29" s="15" t="n"/>
      <c r="I29" s="14" t="n"/>
      <c r="J29" s="15" t="n"/>
      <c r="K29" s="14" t="n"/>
      <c r="L29" s="15" t="n"/>
      <c r="M29" s="14" t="n"/>
      <c r="N29" s="15" t="n"/>
      <c r="O29" s="14" t="n"/>
      <c r="P29" s="15" t="n"/>
      <c r="Q29" s="14" t="n"/>
      <c r="R29" s="15" t="n"/>
      <c r="S29" s="14" t="n"/>
      <c r="T29" s="15" t="n"/>
      <c r="U29" s="14" t="n"/>
      <c r="V29" s="15" t="n"/>
      <c r="W29" s="14" t="n"/>
      <c r="X29" s="15" t="n"/>
      <c r="Y29" s="14" t="n"/>
      <c r="Z29" s="15" t="n"/>
      <c r="AA29" s="14" t="n"/>
      <c r="AB29" s="15" t="n"/>
      <c r="AC29" s="14" t="n"/>
      <c r="AD29" s="15" t="n"/>
      <c r="AE29" s="14" t="n"/>
      <c r="AF29" s="15" t="n"/>
      <c r="AG29" s="14" t="n"/>
      <c r="AH29" s="15" t="n"/>
      <c r="AI29" s="14" t="n"/>
      <c r="AJ29" s="15" t="n"/>
      <c r="AK29" s="14" t="n"/>
      <c r="AL29" s="15" t="n"/>
      <c r="AM29" s="14" t="n"/>
      <c r="AN29" s="15" t="n"/>
      <c r="AO29" s="14" t="n"/>
      <c r="AP29" s="15" t="n"/>
      <c r="AQ29" s="14" t="n"/>
      <c r="AR29" s="15" t="n"/>
      <c r="AS29" s="14" t="n"/>
      <c r="AT29" s="15" t="n"/>
      <c r="AU29" s="14" t="n"/>
      <c r="AV29" s="15" t="n"/>
      <c r="AW29" s="14" t="n"/>
      <c r="AX29" s="15" t="n"/>
      <c r="AY29" s="14" t="n"/>
      <c r="AZ29" s="15" t="n"/>
      <c r="BA29" s="14" t="n"/>
      <c r="BB29" s="15" t="n"/>
      <c r="BC29" s="14" t="n"/>
      <c r="BD29" s="15" t="n"/>
      <c r="BE29" s="14" t="n"/>
      <c r="BF29" s="15" t="n"/>
      <c r="BG29" s="14" t="n"/>
      <c r="BH29" s="15" t="n"/>
      <c r="BI29" s="14" t="n"/>
      <c r="BJ29" s="15" t="n"/>
      <c r="BK29" s="14" t="n"/>
      <c r="BL29" s="15" t="n"/>
      <c r="BM29" s="14" t="n"/>
    </row>
    <row r="30" ht="21.95" customHeight="1">
      <c r="A30" s="33" t="n">
        <v>27</v>
      </c>
      <c r="B30" s="33" t="inlineStr">
        <is>
          <t>LA-215077</t>
        </is>
      </c>
      <c r="C30" s="33" t="inlineStr">
        <is>
          <t>0（高报=1）</t>
        </is>
      </c>
      <c r="D30" s="33" t="inlineStr">
        <is>
          <t>状态</t>
        </is>
      </c>
      <c r="E30" s="34" t="inlineStr">
        <is>
          <t>高报&gt;5分钟扣1分/次</t>
        </is>
      </c>
      <c r="F30" s="13" t="n"/>
      <c r="G30" s="14" t="n"/>
      <c r="H30" s="15" t="n"/>
      <c r="I30" s="14" t="n"/>
      <c r="J30" s="15" t="n"/>
      <c r="K30" s="14" t="n"/>
      <c r="L30" s="15" t="n"/>
      <c r="M30" s="14" t="n"/>
      <c r="N30" s="15" t="n"/>
      <c r="O30" s="14" t="n"/>
      <c r="P30" s="15" t="n"/>
      <c r="Q30" s="14" t="n"/>
      <c r="R30" s="15" t="n"/>
      <c r="S30" s="14" t="n"/>
      <c r="T30" s="15" t="n"/>
      <c r="U30" s="14" t="n"/>
      <c r="V30" s="15" t="n"/>
      <c r="W30" s="14" t="n"/>
      <c r="X30" s="15" t="n"/>
      <c r="Y30" s="14" t="n"/>
      <c r="Z30" s="15" t="n"/>
      <c r="AA30" s="14" t="n"/>
      <c r="AB30" s="15" t="n"/>
      <c r="AC30" s="14" t="n"/>
      <c r="AD30" s="15" t="n"/>
      <c r="AE30" s="14" t="n"/>
      <c r="AF30" s="15" t="n"/>
      <c r="AG30" s="14" t="n"/>
      <c r="AH30" s="15" t="n"/>
      <c r="AI30" s="14" t="n"/>
      <c r="AJ30" s="15" t="n"/>
      <c r="AK30" s="14" t="n"/>
      <c r="AL30" s="15" t="n"/>
      <c r="AM30" s="14" t="n"/>
      <c r="AN30" s="15" t="n"/>
      <c r="AO30" s="14" t="n"/>
      <c r="AP30" s="15" t="n"/>
      <c r="AQ30" s="14" t="n"/>
      <c r="AR30" s="15" t="n"/>
      <c r="AS30" s="14" t="n"/>
      <c r="AT30" s="15" t="n"/>
      <c r="AU30" s="14" t="n"/>
      <c r="AV30" s="15" t="n"/>
      <c r="AW30" s="14" t="n"/>
      <c r="AX30" s="15" t="n"/>
      <c r="AY30" s="14" t="n"/>
      <c r="AZ30" s="15" t="n"/>
      <c r="BA30" s="14" t="n"/>
      <c r="BB30" s="15" t="n"/>
      <c r="BC30" s="14" t="n"/>
      <c r="BD30" s="15" t="n"/>
      <c r="BE30" s="14" t="n"/>
      <c r="BF30" s="15" t="n"/>
      <c r="BG30" s="14" t="n"/>
      <c r="BH30" s="15" t="n"/>
      <c r="BI30" s="14" t="n"/>
      <c r="BJ30" s="15" t="n"/>
      <c r="BK30" s="14" t="n"/>
      <c r="BL30" s="15" t="n"/>
      <c r="BM30" s="14" t="n"/>
    </row>
    <row r="31" ht="21.95" customHeight="1">
      <c r="A31" s="33" t="n">
        <v>28</v>
      </c>
      <c r="B31" s="33" t="inlineStr">
        <is>
          <t>LA-215177</t>
        </is>
      </c>
      <c r="C31" s="33" t="inlineStr">
        <is>
          <t>0（高报=1）</t>
        </is>
      </c>
      <c r="D31" s="33" t="inlineStr">
        <is>
          <t>状态</t>
        </is>
      </c>
      <c r="E31" s="34" t="inlineStr">
        <is>
          <t>高报&gt;5分钟扣1分/次</t>
        </is>
      </c>
      <c r="F31" s="13" t="n"/>
      <c r="G31" s="14" t="n"/>
      <c r="H31" s="15" t="n"/>
      <c r="I31" s="14" t="n"/>
      <c r="J31" s="15" t="n"/>
      <c r="K31" s="14" t="n"/>
      <c r="L31" s="15" t="n"/>
      <c r="M31" s="14" t="n"/>
      <c r="N31" s="15" t="n"/>
      <c r="O31" s="14" t="n"/>
      <c r="P31" s="15" t="n"/>
      <c r="Q31" s="14" t="n"/>
      <c r="R31" s="15" t="n"/>
      <c r="S31" s="14" t="n"/>
      <c r="T31" s="15" t="n"/>
      <c r="U31" s="14" t="n"/>
      <c r="V31" s="15" t="n"/>
      <c r="W31" s="14" t="n"/>
      <c r="X31" s="15" t="n"/>
      <c r="Y31" s="14" t="n"/>
      <c r="Z31" s="15" t="n"/>
      <c r="AA31" s="14" t="n"/>
      <c r="AB31" s="15" t="n"/>
      <c r="AC31" s="14" t="n"/>
      <c r="AD31" s="15" t="n"/>
      <c r="AE31" s="14" t="n"/>
      <c r="AF31" s="15" t="n"/>
      <c r="AG31" s="14" t="n"/>
      <c r="AH31" s="15" t="n"/>
      <c r="AI31" s="14" t="n"/>
      <c r="AJ31" s="15" t="n"/>
      <c r="AK31" s="14" t="n"/>
      <c r="AL31" s="15" t="n"/>
      <c r="AM31" s="14" t="n"/>
      <c r="AN31" s="15" t="n"/>
      <c r="AO31" s="14" t="n"/>
      <c r="AP31" s="15" t="n"/>
      <c r="AQ31" s="14" t="n"/>
      <c r="AR31" s="15" t="n"/>
      <c r="AS31" s="14" t="n"/>
      <c r="AT31" s="15" t="n"/>
      <c r="AU31" s="14" t="n"/>
      <c r="AV31" s="15" t="n"/>
      <c r="AW31" s="14" t="n"/>
      <c r="AX31" s="15" t="n"/>
      <c r="AY31" s="14" t="n"/>
      <c r="AZ31" s="15" t="n"/>
      <c r="BA31" s="14" t="n"/>
      <c r="BB31" s="15" t="n"/>
      <c r="BC31" s="14" t="n"/>
      <c r="BD31" s="15" t="n"/>
      <c r="BE31" s="14" t="n"/>
      <c r="BF31" s="15" t="n"/>
      <c r="BG31" s="14" t="n"/>
      <c r="BH31" s="15" t="n"/>
      <c r="BI31" s="14" t="n"/>
      <c r="BJ31" s="15" t="n"/>
      <c r="BK31" s="14" t="n"/>
      <c r="BL31" s="15" t="n"/>
      <c r="BM31" s="14" t="n"/>
    </row>
    <row r="32" ht="21.95" customHeight="1">
      <c r="A32" s="33" t="n">
        <v>29</v>
      </c>
      <c r="B32" s="33" t="inlineStr">
        <is>
          <t>LA-217075</t>
        </is>
      </c>
      <c r="C32" s="33" t="inlineStr">
        <is>
          <t>0（高报=1）</t>
        </is>
      </c>
      <c r="D32" s="33" t="inlineStr">
        <is>
          <t>状态</t>
        </is>
      </c>
      <c r="E32" s="34" t="inlineStr">
        <is>
          <t>高报&gt;5分钟扣1分/次</t>
        </is>
      </c>
      <c r="F32" s="13" t="n">
        <v>-1</v>
      </c>
      <c r="G32" s="14" t="n"/>
      <c r="H32" s="15" t="n"/>
      <c r="I32" s="14" t="n"/>
      <c r="J32" s="15" t="n"/>
      <c r="K32" s="14" t="n"/>
      <c r="L32" s="15" t="n"/>
      <c r="M32" s="14" t="n"/>
      <c r="N32" s="15" t="n"/>
      <c r="O32" s="14" t="n"/>
      <c r="P32" s="15" t="n"/>
      <c r="Q32" s="14" t="n"/>
      <c r="R32" s="15" t="n"/>
      <c r="S32" s="14" t="n"/>
      <c r="T32" s="15" t="n"/>
      <c r="U32" s="14" t="n"/>
      <c r="V32" s="15" t="n"/>
      <c r="W32" s="14" t="n"/>
      <c r="X32" s="15" t="n"/>
      <c r="Y32" s="14" t="n"/>
      <c r="Z32" s="15" t="n"/>
      <c r="AA32" s="14" t="n"/>
      <c r="AB32" s="15" t="n"/>
      <c r="AC32" s="14" t="n"/>
      <c r="AD32" s="15" t="n"/>
      <c r="AE32" s="14" t="n"/>
      <c r="AF32" s="15" t="n"/>
      <c r="AG32" s="14" t="n"/>
      <c r="AH32" s="15" t="n"/>
      <c r="AI32" s="14" t="n"/>
      <c r="AJ32" s="15" t="n"/>
      <c r="AK32" s="14" t="n"/>
      <c r="AL32" s="15" t="n"/>
      <c r="AM32" s="14" t="n"/>
      <c r="AN32" s="15" t="n"/>
      <c r="AO32" s="14" t="n"/>
      <c r="AP32" s="15" t="n"/>
      <c r="AQ32" s="14" t="n"/>
      <c r="AR32" s="15" t="n"/>
      <c r="AS32" s="14" t="n"/>
      <c r="AT32" s="15" t="n"/>
      <c r="AU32" s="14" t="n"/>
      <c r="AV32" s="15" t="n"/>
      <c r="AW32" s="14" t="n"/>
      <c r="AX32" s="15" t="n"/>
      <c r="AY32" s="14" t="n"/>
      <c r="AZ32" s="15" t="n"/>
      <c r="BA32" s="14" t="n"/>
      <c r="BB32" s="15" t="n"/>
      <c r="BC32" s="14" t="n"/>
      <c r="BD32" s="15" t="n"/>
      <c r="BE32" s="14" t="n"/>
      <c r="BF32" s="15" t="n"/>
      <c r="BG32" s="14" t="n"/>
      <c r="BH32" s="15" t="n"/>
      <c r="BI32" s="14" t="n"/>
      <c r="BJ32" s="15" t="n"/>
      <c r="BK32" s="14" t="n"/>
      <c r="BL32" s="15" t="n"/>
      <c r="BM32" s="14" t="n"/>
    </row>
    <row r="33" ht="21.95" customHeight="1">
      <c r="A33" s="33" t="n">
        <v>30</v>
      </c>
      <c r="B33" s="33" t="inlineStr">
        <is>
          <t>117P01</t>
        </is>
      </c>
      <c r="C33" s="33" t="inlineStr">
        <is>
          <t>正常≥125, 切泵≥100</t>
        </is>
      </c>
      <c r="D33" s="33" t="inlineStr">
        <is>
          <t>t/h</t>
        </is>
      </c>
      <c r="E33" s="34" t="inlineStr">
        <is>
          <t>低流量扣1分，切泵超时&gt;10分扣2分</t>
        </is>
      </c>
      <c r="F33" s="13" t="n"/>
      <c r="G33" s="14" t="n"/>
      <c r="H33" s="15" t="n"/>
      <c r="I33" s="14" t="n"/>
      <c r="J33" s="15" t="n"/>
      <c r="K33" s="14" t="n"/>
      <c r="L33" s="15" t="n"/>
      <c r="M33" s="14" t="n"/>
      <c r="N33" s="15" t="n"/>
      <c r="O33" s="14" t="n"/>
      <c r="P33" s="15" t="n"/>
      <c r="Q33" s="14" t="n"/>
      <c r="R33" s="15" t="n"/>
      <c r="S33" s="14" t="n"/>
      <c r="T33" s="15" t="n"/>
      <c r="U33" s="14" t="n"/>
      <c r="V33" s="15" t="n"/>
      <c r="W33" s="14" t="n"/>
      <c r="X33" s="15" t="n"/>
      <c r="Y33" s="14" t="n"/>
      <c r="Z33" s="15" t="n"/>
      <c r="AA33" s="14" t="n"/>
      <c r="AB33" s="15" t="n"/>
      <c r="AC33" s="14" t="n"/>
      <c r="AD33" s="15" t="n"/>
      <c r="AE33" s="14" t="n"/>
      <c r="AF33" s="15" t="n"/>
      <c r="AG33" s="14" t="n"/>
      <c r="AH33" s="15" t="n"/>
      <c r="AI33" s="14" t="n"/>
      <c r="AJ33" s="15" t="n"/>
      <c r="AK33" s="14" t="n"/>
      <c r="AL33" s="15" t="n"/>
      <c r="AM33" s="14" t="n"/>
      <c r="AN33" s="15" t="n"/>
      <c r="AO33" s="14" t="n"/>
      <c r="AP33" s="15" t="n"/>
      <c r="AQ33" s="14" t="n"/>
      <c r="AR33" s="15" t="n"/>
      <c r="AS33" s="14" t="n"/>
      <c r="AT33" s="15" t="n"/>
      <c r="AU33" s="14" t="n"/>
      <c r="AV33" s="15" t="n"/>
      <c r="AW33" s="14" t="n"/>
      <c r="AX33" s="15" t="n"/>
      <c r="AY33" s="14" t="n"/>
      <c r="AZ33" s="15" t="n"/>
      <c r="BA33" s="14" t="n"/>
      <c r="BB33" s="15" t="n"/>
      <c r="BC33" s="14" t="n"/>
      <c r="BD33" s="15" t="n"/>
      <c r="BE33" s="14" t="n"/>
      <c r="BF33" s="15" t="n"/>
      <c r="BG33" s="14" t="n"/>
      <c r="BH33" s="15" t="n"/>
      <c r="BI33" s="14" t="n"/>
      <c r="BJ33" s="15" t="n"/>
      <c r="BK33" s="14" t="n"/>
      <c r="BL33" s="15" t="n"/>
      <c r="BM33" s="14" t="n"/>
    </row>
    <row r="34" ht="21.95" customHeight="1">
      <c r="A34" s="33" t="n">
        <v>31</v>
      </c>
      <c r="B34" s="33" t="inlineStr">
        <is>
          <t>115P05</t>
        </is>
      </c>
      <c r="C34" s="33" t="inlineStr">
        <is>
          <t>正常≥110, 切泵≥100</t>
        </is>
      </c>
      <c r="D34" s="33" t="inlineStr">
        <is>
          <t>t/h</t>
        </is>
      </c>
      <c r="E34" s="34" t="inlineStr">
        <is>
          <t>低流量扣1分，切泵超时&gt;10分扣2分</t>
        </is>
      </c>
      <c r="F34" s="13" t="n"/>
      <c r="G34" s="14" t="n"/>
      <c r="H34" s="15" t="n"/>
      <c r="I34" s="14" t="n"/>
      <c r="J34" s="15" t="n"/>
      <c r="K34" s="14" t="n"/>
      <c r="L34" s="15" t="n"/>
      <c r="M34" s="14" t="n"/>
      <c r="N34" s="15" t="n"/>
      <c r="O34" s="14" t="n"/>
      <c r="P34" s="15" t="n"/>
      <c r="Q34" s="14" t="n"/>
      <c r="R34" s="15" t="n"/>
      <c r="S34" s="14" t="n"/>
      <c r="T34" s="15" t="n"/>
      <c r="U34" s="14" t="n"/>
      <c r="V34" s="15" t="n"/>
      <c r="W34" s="14" t="n"/>
      <c r="X34" s="15" t="n"/>
      <c r="Y34" s="14" t="n"/>
      <c r="Z34" s="15" t="n"/>
      <c r="AA34" s="14" t="n"/>
      <c r="AB34" s="15" t="n"/>
      <c r="AC34" s="14" t="n"/>
      <c r="AD34" s="15" t="n"/>
      <c r="AE34" s="14" t="n"/>
      <c r="AF34" s="15" t="n"/>
      <c r="AG34" s="14" t="n"/>
      <c r="AH34" s="15" t="n"/>
      <c r="AI34" s="14" t="n"/>
      <c r="AJ34" s="15" t="n"/>
      <c r="AK34" s="14" t="n"/>
      <c r="AL34" s="15" t="n"/>
      <c r="AM34" s="14" t="n"/>
      <c r="AN34" s="15" t="n"/>
      <c r="AO34" s="14" t="n"/>
      <c r="AP34" s="15" t="n"/>
      <c r="AQ34" s="14" t="n"/>
      <c r="AR34" s="15" t="n"/>
      <c r="AS34" s="14" t="n"/>
      <c r="AT34" s="15" t="n"/>
      <c r="AU34" s="14" t="n"/>
      <c r="AV34" s="15" t="n"/>
      <c r="AW34" s="14" t="n"/>
      <c r="AX34" s="15" t="n"/>
      <c r="AY34" s="14" t="n"/>
      <c r="AZ34" s="15" t="n"/>
      <c r="BA34" s="14" t="n"/>
      <c r="BB34" s="15" t="n"/>
      <c r="BC34" s="14" t="n"/>
      <c r="BD34" s="15" t="n"/>
      <c r="BE34" s="14" t="n"/>
      <c r="BF34" s="15" t="n"/>
      <c r="BG34" s="14" t="n"/>
      <c r="BH34" s="15" t="n"/>
      <c r="BI34" s="14" t="n"/>
      <c r="BJ34" s="15" t="n"/>
      <c r="BK34" s="14" t="n"/>
      <c r="BL34" s="15" t="n"/>
      <c r="BM34" s="14" t="n"/>
    </row>
    <row r="35" ht="21.95" customHeight="1">
      <c r="A35" s="33" t="n">
        <v>32</v>
      </c>
      <c r="B35" s="33" t="inlineStr">
        <is>
          <t>115P03</t>
        </is>
      </c>
      <c r="C35" s="33" t="inlineStr">
        <is>
          <t>正常≥110, 切泵≥100</t>
        </is>
      </c>
      <c r="D35" s="33" t="inlineStr">
        <is>
          <t>t/h</t>
        </is>
      </c>
      <c r="E35" s="34" t="inlineStr">
        <is>
          <t>低流量扣1分，切泵超时&gt;10分扣2分</t>
        </is>
      </c>
      <c r="F35" s="13" t="n"/>
      <c r="G35" s="14" t="n"/>
      <c r="H35" s="15" t="n"/>
      <c r="I35" s="14" t="n"/>
      <c r="J35" s="15" t="n"/>
      <c r="K35" s="14" t="n"/>
      <c r="L35" s="15" t="n"/>
      <c r="M35" s="14" t="n"/>
      <c r="N35" s="15" t="n"/>
      <c r="O35" s="14" t="n"/>
      <c r="P35" s="15" t="n"/>
      <c r="Q35" s="14" t="n"/>
      <c r="R35" s="15" t="n"/>
      <c r="S35" s="14" t="n"/>
      <c r="T35" s="15" t="n"/>
      <c r="U35" s="14" t="n"/>
      <c r="V35" s="15" t="n"/>
      <c r="W35" s="14" t="n"/>
      <c r="X35" s="15" t="n"/>
      <c r="Y35" s="14" t="n"/>
      <c r="Z35" s="15" t="n"/>
      <c r="AA35" s="14" t="n"/>
      <c r="AB35" s="15" t="n"/>
      <c r="AC35" s="14" t="n"/>
      <c r="AD35" s="15" t="n"/>
      <c r="AE35" s="14" t="n"/>
      <c r="AF35" s="15" t="n"/>
      <c r="AG35" s="14" t="n"/>
      <c r="AH35" s="15" t="n"/>
      <c r="AI35" s="14" t="n"/>
      <c r="AJ35" s="15" t="n"/>
      <c r="AK35" s="14" t="n"/>
      <c r="AL35" s="15" t="n"/>
      <c r="AM35" s="14" t="n"/>
      <c r="AN35" s="15" t="n"/>
      <c r="AO35" s="14" t="n"/>
      <c r="AP35" s="15" t="n"/>
      <c r="AQ35" s="14" t="n"/>
      <c r="AR35" s="15" t="n"/>
      <c r="AS35" s="14" t="n"/>
      <c r="AT35" s="15" t="n"/>
      <c r="AU35" s="14" t="n"/>
      <c r="AV35" s="15" t="n"/>
      <c r="AW35" s="14" t="n"/>
      <c r="AX35" s="15" t="n"/>
      <c r="AY35" s="14" t="n"/>
      <c r="AZ35" s="15" t="n"/>
      <c r="BA35" s="14" t="n"/>
      <c r="BB35" s="15" t="n"/>
      <c r="BC35" s="14" t="n"/>
      <c r="BD35" s="15" t="n"/>
      <c r="BE35" s="14" t="n"/>
      <c r="BF35" s="15" t="n"/>
      <c r="BG35" s="14" t="n"/>
      <c r="BH35" s="15" t="n"/>
      <c r="BI35" s="14" t="n"/>
      <c r="BJ35" s="15" t="n"/>
      <c r="BK35" s="14" t="n"/>
      <c r="BL35" s="15" t="n"/>
      <c r="BM35" s="14" t="n"/>
    </row>
    <row r="36" ht="21.95" customHeight="1">
      <c r="A36" s="33" t="n">
        <v>33</v>
      </c>
      <c r="B36" s="33" t="inlineStr">
        <is>
          <t>217P01</t>
        </is>
      </c>
      <c r="C36" s="33" t="inlineStr">
        <is>
          <t>正常≥110, 切泵≥100</t>
        </is>
      </c>
      <c r="D36" s="33" t="inlineStr">
        <is>
          <t>t/h</t>
        </is>
      </c>
      <c r="E36" s="34" t="inlineStr">
        <is>
          <t>低流量扣1分，切泵超时&gt;10分扣2分</t>
        </is>
      </c>
      <c r="F36" s="13" t="n"/>
      <c r="G36" s="14" t="n"/>
      <c r="H36" s="15" t="n"/>
      <c r="I36" s="14" t="n"/>
      <c r="J36" s="15" t="n"/>
      <c r="K36" s="14" t="n"/>
      <c r="L36" s="15" t="n"/>
      <c r="M36" s="14" t="n"/>
      <c r="N36" s="15" t="n"/>
      <c r="O36" s="14" t="n"/>
      <c r="P36" s="15" t="n"/>
      <c r="Q36" s="14" t="n"/>
      <c r="R36" s="15" t="n"/>
      <c r="S36" s="14" t="n"/>
      <c r="T36" s="15" t="n"/>
      <c r="U36" s="14" t="n"/>
      <c r="V36" s="15" t="n"/>
      <c r="W36" s="14" t="n"/>
      <c r="X36" s="15" t="n"/>
      <c r="Y36" s="14" t="n"/>
      <c r="Z36" s="15" t="n"/>
      <c r="AA36" s="14" t="n"/>
      <c r="AB36" s="15" t="n"/>
      <c r="AC36" s="14" t="n"/>
      <c r="AD36" s="15" t="n"/>
      <c r="AE36" s="14" t="n"/>
      <c r="AF36" s="15" t="n"/>
      <c r="AG36" s="14" t="n"/>
      <c r="AH36" s="15" t="n"/>
      <c r="AI36" s="14" t="n"/>
      <c r="AJ36" s="15" t="n"/>
      <c r="AK36" s="14" t="n"/>
      <c r="AL36" s="15" t="n"/>
      <c r="AM36" s="14" t="n"/>
      <c r="AN36" s="15" t="n"/>
      <c r="AO36" s="14" t="n"/>
      <c r="AP36" s="15" t="n"/>
      <c r="AQ36" s="14" t="n"/>
      <c r="AR36" s="15" t="n"/>
      <c r="AS36" s="14" t="n"/>
      <c r="AT36" s="15" t="n"/>
      <c r="AU36" s="14" t="n"/>
      <c r="AV36" s="15" t="n"/>
      <c r="AW36" s="14" t="n"/>
      <c r="AX36" s="15" t="n"/>
      <c r="AY36" s="14" t="n"/>
      <c r="AZ36" s="15" t="n"/>
      <c r="BA36" s="14" t="n"/>
      <c r="BB36" s="15" t="n"/>
      <c r="BC36" s="14" t="n"/>
      <c r="BD36" s="15" t="n"/>
      <c r="BE36" s="14" t="n"/>
      <c r="BF36" s="15" t="n"/>
      <c r="BG36" s="14" t="n"/>
      <c r="BH36" s="15" t="n"/>
      <c r="BI36" s="14" t="n"/>
      <c r="BJ36" s="15" t="n"/>
      <c r="BK36" s="14" t="n"/>
      <c r="BL36" s="15" t="n"/>
      <c r="BM36" s="14" t="n"/>
    </row>
    <row r="37" ht="21.95" customHeight="1">
      <c r="A37" s="33" t="n">
        <v>34</v>
      </c>
      <c r="B37" s="33" t="inlineStr">
        <is>
          <t>215P05</t>
        </is>
      </c>
      <c r="C37" s="33" t="inlineStr">
        <is>
          <t>正常≥110, 切泵≥100</t>
        </is>
      </c>
      <c r="D37" s="33" t="inlineStr">
        <is>
          <t>t/h</t>
        </is>
      </c>
      <c r="E37" s="34" t="inlineStr">
        <is>
          <t>低流量扣1分，切泵超时&gt;10分扣2分</t>
        </is>
      </c>
      <c r="F37" s="13" t="n"/>
      <c r="G37" s="14" t="n"/>
      <c r="H37" s="15" t="n"/>
      <c r="I37" s="14" t="n"/>
      <c r="J37" s="15" t="n"/>
      <c r="K37" s="14" t="n"/>
      <c r="L37" s="15" t="n"/>
      <c r="M37" s="14" t="n"/>
      <c r="N37" s="15" t="n"/>
      <c r="O37" s="14" t="n"/>
      <c r="P37" s="15" t="n"/>
      <c r="Q37" s="14" t="n"/>
      <c r="R37" s="15" t="n"/>
      <c r="S37" s="14" t="n"/>
      <c r="T37" s="15" t="n"/>
      <c r="U37" s="14" t="n"/>
      <c r="V37" s="15" t="n"/>
      <c r="W37" s="14" t="n"/>
      <c r="X37" s="15" t="n"/>
      <c r="Y37" s="14" t="n"/>
      <c r="Z37" s="15" t="n"/>
      <c r="AA37" s="14" t="n"/>
      <c r="AB37" s="15" t="n"/>
      <c r="AC37" s="14" t="n"/>
      <c r="AD37" s="15" t="n"/>
      <c r="AE37" s="14" t="n"/>
      <c r="AF37" s="15" t="n"/>
      <c r="AG37" s="14" t="n"/>
      <c r="AH37" s="15" t="n"/>
      <c r="AI37" s="14" t="n"/>
      <c r="AJ37" s="15" t="n"/>
      <c r="AK37" s="14" t="n"/>
      <c r="AL37" s="15" t="n"/>
      <c r="AM37" s="14" t="n"/>
      <c r="AN37" s="15" t="n"/>
      <c r="AO37" s="14" t="n"/>
      <c r="AP37" s="15" t="n"/>
      <c r="AQ37" s="14" t="n"/>
      <c r="AR37" s="15" t="n"/>
      <c r="AS37" s="14" t="n"/>
      <c r="AT37" s="15" t="n"/>
      <c r="AU37" s="14" t="n"/>
      <c r="AV37" s="15" t="n"/>
      <c r="AW37" s="14" t="n"/>
      <c r="AX37" s="15" t="n"/>
      <c r="AY37" s="14" t="n"/>
      <c r="AZ37" s="15" t="n"/>
      <c r="BA37" s="14" t="n"/>
      <c r="BB37" s="15" t="n"/>
      <c r="BC37" s="14" t="n"/>
      <c r="BD37" s="15" t="n"/>
      <c r="BE37" s="14" t="n"/>
      <c r="BF37" s="15" t="n"/>
      <c r="BG37" s="14" t="n"/>
      <c r="BH37" s="15" t="n"/>
      <c r="BI37" s="14" t="n"/>
      <c r="BJ37" s="15" t="n"/>
      <c r="BK37" s="14" t="n"/>
      <c r="BL37" s="15" t="n"/>
      <c r="BM37" s="14" t="n"/>
    </row>
    <row r="38" ht="21.95" customHeight="1">
      <c r="A38" s="33" t="n">
        <v>35</v>
      </c>
      <c r="B38" s="33" t="inlineStr">
        <is>
          <t>215P03</t>
        </is>
      </c>
      <c r="C38" s="33" t="inlineStr">
        <is>
          <t>正常≥110, 切泵≥100</t>
        </is>
      </c>
      <c r="D38" s="33" t="inlineStr">
        <is>
          <t>t/h</t>
        </is>
      </c>
      <c r="E38" s="34" t="inlineStr">
        <is>
          <t>低流量扣1分，切泵超时&gt;10分扣2分</t>
        </is>
      </c>
      <c r="F38" s="13" t="n"/>
      <c r="G38" s="14" t="n"/>
      <c r="H38" s="15" t="n"/>
      <c r="I38" s="14" t="n"/>
      <c r="J38" s="15" t="n"/>
      <c r="K38" s="14" t="n"/>
      <c r="L38" s="15" t="n"/>
      <c r="M38" s="14" t="n"/>
      <c r="N38" s="15" t="n"/>
      <c r="O38" s="14" t="n"/>
      <c r="P38" s="15" t="n"/>
      <c r="Q38" s="14" t="n"/>
      <c r="R38" s="15" t="n"/>
      <c r="S38" s="14" t="n"/>
      <c r="T38" s="15" t="n"/>
      <c r="U38" s="14" t="n"/>
      <c r="V38" s="15" t="n"/>
      <c r="W38" s="14" t="n"/>
      <c r="X38" s="15" t="n"/>
      <c r="Y38" s="14" t="n"/>
      <c r="Z38" s="15" t="n"/>
      <c r="AA38" s="14" t="n"/>
      <c r="AB38" s="15" t="n"/>
      <c r="AC38" s="14" t="n"/>
      <c r="AD38" s="15" t="n"/>
      <c r="AE38" s="14" t="n"/>
      <c r="AF38" s="15" t="n"/>
      <c r="AG38" s="14" t="n"/>
      <c r="AH38" s="15" t="n"/>
      <c r="AI38" s="14" t="n"/>
      <c r="AJ38" s="15" t="n"/>
      <c r="AK38" s="14" t="n"/>
      <c r="AL38" s="15" t="n"/>
      <c r="AM38" s="14" t="n"/>
      <c r="AN38" s="15" t="n"/>
      <c r="AO38" s="14" t="n"/>
      <c r="AP38" s="15" t="n"/>
      <c r="AQ38" s="14" t="n"/>
      <c r="AR38" s="15" t="n"/>
      <c r="AS38" s="14" t="n"/>
      <c r="AT38" s="15" t="n"/>
      <c r="AU38" s="14" t="n"/>
      <c r="AV38" s="15" t="n"/>
      <c r="AW38" s="14" t="n"/>
      <c r="AX38" s="15" t="n"/>
      <c r="AY38" s="14" t="n"/>
      <c r="AZ38" s="15" t="n"/>
      <c r="BA38" s="14" t="n"/>
      <c r="BB38" s="15" t="n"/>
      <c r="BC38" s="14" t="n"/>
      <c r="BD38" s="15" t="n"/>
      <c r="BE38" s="14" t="n"/>
      <c r="BF38" s="15" t="n"/>
      <c r="BG38" s="14" t="n"/>
      <c r="BH38" s="15" t="n"/>
      <c r="BI38" s="14" t="n"/>
      <c r="BJ38" s="15" t="n"/>
      <c r="BK38" s="14" t="n"/>
      <c r="BL38" s="15" t="n"/>
      <c r="BM38" s="14" t="n"/>
    </row>
    <row r="39" ht="23.1" customHeight="1">
      <c r="A39" s="16" t="n"/>
      <c r="B39" s="16" t="inlineStr">
        <is>
          <t>中控合计：</t>
        </is>
      </c>
      <c r="C39" s="16" t="n"/>
      <c r="D39" s="16" t="n"/>
      <c r="E39" s="17" t="n"/>
      <c r="F39" s="18">
        <f>SUM(F4:F26)</f>
        <v/>
      </c>
      <c r="G39" s="19">
        <f>SUM(G4:G26)</f>
        <v/>
      </c>
      <c r="H39" s="20">
        <f>SUM(H4:H26)</f>
        <v/>
      </c>
      <c r="I39" s="19">
        <f>SUM(I4:I26)</f>
        <v/>
      </c>
      <c r="J39" s="20">
        <f>SUM(J4:J26)</f>
        <v/>
      </c>
      <c r="K39" s="19">
        <f>SUM(K4:K26)</f>
        <v/>
      </c>
      <c r="L39" s="20">
        <f>SUM(L4:L26)</f>
        <v/>
      </c>
      <c r="M39" s="19">
        <f>SUM(M4:M26)</f>
        <v/>
      </c>
      <c r="N39" s="20">
        <f>SUM(N4:N26)</f>
        <v/>
      </c>
      <c r="O39" s="19">
        <f>SUM(O4:O26)</f>
        <v/>
      </c>
      <c r="P39" s="20">
        <f>SUM(P4:P26)</f>
        <v/>
      </c>
      <c r="Q39" s="19">
        <f>SUM(Q4:Q26)</f>
        <v/>
      </c>
      <c r="R39" s="20">
        <f>SUM(R4:R26)</f>
        <v/>
      </c>
      <c r="S39" s="19">
        <f>SUM(S4:S26)</f>
        <v/>
      </c>
      <c r="T39" s="20">
        <f>SUM(T4:T26)</f>
        <v/>
      </c>
      <c r="U39" s="19">
        <f>SUM(U4:U26)</f>
        <v/>
      </c>
      <c r="V39" s="20">
        <f>SUM(V4:V26)</f>
        <v/>
      </c>
      <c r="W39" s="19">
        <f>SUM(W4:W26)</f>
        <v/>
      </c>
      <c r="X39" s="20">
        <f>SUM(X4:X26)</f>
        <v/>
      </c>
      <c r="Y39" s="19">
        <f>SUM(Y4:Y26)</f>
        <v/>
      </c>
      <c r="Z39" s="20">
        <f>SUM(Z4:Z26)</f>
        <v/>
      </c>
      <c r="AA39" s="19">
        <f>SUM(AA4:AA26)</f>
        <v/>
      </c>
      <c r="AB39" s="20">
        <f>SUM(AB4:AB26)</f>
        <v/>
      </c>
      <c r="AC39" s="19">
        <f>SUM(AC4:AC26)</f>
        <v/>
      </c>
      <c r="AD39" s="20">
        <f>SUM(AD4:AD26)</f>
        <v/>
      </c>
      <c r="AE39" s="19">
        <f>SUM(AE4:AE26)</f>
        <v/>
      </c>
      <c r="AF39" s="20">
        <f>SUM(AF4:AF26)</f>
        <v/>
      </c>
      <c r="AG39" s="19">
        <f>SUM(AG4:AG26)</f>
        <v/>
      </c>
      <c r="AH39" s="20">
        <f>SUM(AH4:AH26)</f>
        <v/>
      </c>
      <c r="AI39" s="19">
        <f>SUM(AI4:AI26)</f>
        <v/>
      </c>
      <c r="AJ39" s="20">
        <f>SUM(AJ4:AJ26)</f>
        <v/>
      </c>
      <c r="AK39" s="19">
        <f>SUM(AK4:AK26)</f>
        <v/>
      </c>
      <c r="AL39" s="20">
        <f>SUM(AL4:AL26)</f>
        <v/>
      </c>
      <c r="AM39" s="19">
        <f>SUM(AM4:AM26)</f>
        <v/>
      </c>
      <c r="AN39" s="20">
        <f>SUM(AN4:AN26)</f>
        <v/>
      </c>
      <c r="AO39" s="19">
        <f>SUM(AO4:AO26)</f>
        <v/>
      </c>
      <c r="AP39" s="20">
        <f>SUM(AP4:AP26)</f>
        <v/>
      </c>
      <c r="AQ39" s="19">
        <f>SUM(AQ4:AQ26)</f>
        <v/>
      </c>
      <c r="AR39" s="20">
        <f>SUM(AR4:AR26)</f>
        <v/>
      </c>
      <c r="AS39" s="19">
        <f>SUM(AS4:AS26)</f>
        <v/>
      </c>
      <c r="AT39" s="20">
        <f>SUM(AT4:AT26)</f>
        <v/>
      </c>
      <c r="AU39" s="19">
        <f>SUM(AU4:AU26)</f>
        <v/>
      </c>
      <c r="AV39" s="20">
        <f>SUM(AV4:AV26)</f>
        <v/>
      </c>
      <c r="AW39" s="19">
        <f>SUM(AW4:AW26)</f>
        <v/>
      </c>
      <c r="AX39" s="20">
        <f>SUM(AX4:AX26)</f>
        <v/>
      </c>
      <c r="AY39" s="19">
        <f>SUM(AY4:AY26)</f>
        <v/>
      </c>
      <c r="AZ39" s="20">
        <f>SUM(AZ4:AZ26)</f>
        <v/>
      </c>
      <c r="BA39" s="19">
        <f>SUM(BA4:BA26)</f>
        <v/>
      </c>
      <c r="BB39" s="20">
        <f>SUM(BB4:BB26)</f>
        <v/>
      </c>
      <c r="BC39" s="19">
        <f>SUM(BC4:BC26)</f>
        <v/>
      </c>
      <c r="BD39" s="20">
        <f>SUM(BD4:BD26)</f>
        <v/>
      </c>
      <c r="BE39" s="19">
        <f>SUM(BE4:BE26)</f>
        <v/>
      </c>
      <c r="BF39" s="20">
        <f>SUM(BF4:BF26)</f>
        <v/>
      </c>
      <c r="BG39" s="19">
        <f>SUM(BG4:BG26)</f>
        <v/>
      </c>
      <c r="BH39" s="20">
        <f>SUM(BH4:BH26)</f>
        <v/>
      </c>
      <c r="BI39" s="19">
        <f>SUM(BI4:BI26)</f>
        <v/>
      </c>
      <c r="BJ39" s="20">
        <f>SUM(BJ4:BJ26)</f>
        <v/>
      </c>
      <c r="BK39" s="19">
        <f>SUM(BK4:BK26)</f>
        <v/>
      </c>
      <c r="BL39" s="20">
        <f>SUM(BL4:BL26)</f>
        <v/>
      </c>
      <c r="BM39" s="19">
        <f>SUM(BM4:BM26)</f>
        <v/>
      </c>
    </row>
    <row r="40" ht="23.1" customHeight="1">
      <c r="A40" s="35" t="n"/>
      <c r="B40" s="35" t="inlineStr">
        <is>
          <t>现场合计：</t>
        </is>
      </c>
      <c r="C40" s="35" t="n"/>
      <c r="D40" s="35" t="n"/>
      <c r="E40" s="36" t="n"/>
      <c r="F40" s="37">
        <f>SUM(F11:F16,F27:F38)</f>
        <v/>
      </c>
      <c r="G40" s="38">
        <f>SUM(G11:G16,G27:G38)</f>
        <v/>
      </c>
      <c r="H40" s="39">
        <f>SUM(H11:H16,H27:H38)</f>
        <v/>
      </c>
      <c r="I40" s="38">
        <f>SUM(I11:I16,I27:I38)</f>
        <v/>
      </c>
      <c r="J40" s="39">
        <f>SUM(J11:J16,J27:J38)</f>
        <v/>
      </c>
      <c r="K40" s="38">
        <f>SUM(K11:K16,K27:K38)</f>
        <v/>
      </c>
      <c r="L40" s="39">
        <f>SUM(L11:L16,L27:L38)</f>
        <v/>
      </c>
      <c r="M40" s="38">
        <f>SUM(M11:M16,M27:M38)</f>
        <v/>
      </c>
      <c r="N40" s="39">
        <f>SUM(N11:N16,N27:N38)</f>
        <v/>
      </c>
      <c r="O40" s="38">
        <f>SUM(O11:O16,O27:O38)</f>
        <v/>
      </c>
      <c r="P40" s="39">
        <f>SUM(P11:P16,P27:P38)</f>
        <v/>
      </c>
      <c r="Q40" s="38">
        <f>SUM(Q11:Q16,Q27:Q38)</f>
        <v/>
      </c>
      <c r="R40" s="39">
        <f>SUM(R11:R16,R27:R38)</f>
        <v/>
      </c>
      <c r="S40" s="38">
        <f>SUM(S11:S16,S27:S38)</f>
        <v/>
      </c>
      <c r="T40" s="39">
        <f>SUM(T11:T16,T27:T38)</f>
        <v/>
      </c>
      <c r="U40" s="38">
        <f>SUM(U11:U16,U27:U38)</f>
        <v/>
      </c>
      <c r="V40" s="39">
        <f>SUM(V11:V16,V27:V38)</f>
        <v/>
      </c>
      <c r="W40" s="38">
        <f>SUM(W11:W16,W27:W38)</f>
        <v/>
      </c>
      <c r="X40" s="39">
        <f>SUM(X11:X16,X27:X38)</f>
        <v/>
      </c>
      <c r="Y40" s="38">
        <f>SUM(Y11:Y16,Y27:Y38)</f>
        <v/>
      </c>
      <c r="Z40" s="39">
        <f>SUM(Z11:Z16,Z27:Z38)</f>
        <v/>
      </c>
      <c r="AA40" s="38">
        <f>SUM(AA11:AA16,AA27:AA38)</f>
        <v/>
      </c>
      <c r="AB40" s="39">
        <f>SUM(AB11:AB16,AB27:AB38)</f>
        <v/>
      </c>
      <c r="AC40" s="38">
        <f>SUM(AC11:AC16,AC27:AC38)</f>
        <v/>
      </c>
      <c r="AD40" s="39">
        <f>SUM(AD11:AD16,AD27:AD38)</f>
        <v/>
      </c>
      <c r="AE40" s="38">
        <f>SUM(AE11:AE16,AE27:AE38)</f>
        <v/>
      </c>
      <c r="AF40" s="39">
        <f>SUM(AF11:AF16,AF27:AF38)</f>
        <v/>
      </c>
      <c r="AG40" s="38">
        <f>SUM(AG11:AG16,AG27:AG38)</f>
        <v/>
      </c>
      <c r="AH40" s="39">
        <f>SUM(AH11:AH16,AH27:AH38)</f>
        <v/>
      </c>
      <c r="AI40" s="38">
        <f>SUM(AI11:AI16,AI27:AI38)</f>
        <v/>
      </c>
      <c r="AJ40" s="39">
        <f>SUM(AJ11:AJ16,AJ27:AJ38)</f>
        <v/>
      </c>
      <c r="AK40" s="38">
        <f>SUM(AK11:AK16,AK27:AK38)</f>
        <v/>
      </c>
      <c r="AL40" s="39">
        <f>SUM(AL11:AL16,AL27:AL38)</f>
        <v/>
      </c>
      <c r="AM40" s="38">
        <f>SUM(AM11:AM16,AM27:AM38)</f>
        <v/>
      </c>
      <c r="AN40" s="39">
        <f>SUM(AN11:AN16,AN27:AN38)</f>
        <v/>
      </c>
      <c r="AO40" s="38">
        <f>SUM(AO11:AO16,AO27:AO38)</f>
        <v/>
      </c>
      <c r="AP40" s="39">
        <f>SUM(AP11:AP16,AP27:AP38)</f>
        <v/>
      </c>
      <c r="AQ40" s="38">
        <f>SUM(AQ11:AQ16,AQ27:AQ38)</f>
        <v/>
      </c>
      <c r="AR40" s="39">
        <f>SUM(AR11:AR16,AR27:AR38)</f>
        <v/>
      </c>
      <c r="AS40" s="38">
        <f>SUM(AS11:AS16,AS27:AS38)</f>
        <v/>
      </c>
      <c r="AT40" s="39">
        <f>SUM(AT11:AT16,AT27:AT38)</f>
        <v/>
      </c>
      <c r="AU40" s="38">
        <f>SUM(AU11:AU16,AU27:AU38)</f>
        <v/>
      </c>
      <c r="AV40" s="39">
        <f>SUM(AV11:AV16,AV27:AV38)</f>
        <v/>
      </c>
      <c r="AW40" s="38">
        <f>SUM(AW11:AW16,AW27:AW38)</f>
        <v/>
      </c>
      <c r="AX40" s="39">
        <f>SUM(AX11:AX16,AX27:AX38)</f>
        <v/>
      </c>
      <c r="AY40" s="38">
        <f>SUM(AY11:AY16,AY27:AY38)</f>
        <v/>
      </c>
      <c r="AZ40" s="39">
        <f>SUM(AZ11:AZ16,AZ27:AZ38)</f>
        <v/>
      </c>
      <c r="BA40" s="38">
        <f>SUM(BA11:BA16,BA27:BA38)</f>
        <v/>
      </c>
      <c r="BB40" s="39">
        <f>SUM(BB11:BB16,BB27:BB38)</f>
        <v/>
      </c>
      <c r="BC40" s="38">
        <f>SUM(BC11:BC16,BC27:BC38)</f>
        <v/>
      </c>
      <c r="BD40" s="39">
        <f>SUM(BD11:BD16,BD27:BD38)</f>
        <v/>
      </c>
      <c r="BE40" s="38">
        <f>SUM(BE11:BE16,BE27:BE38)</f>
        <v/>
      </c>
      <c r="BF40" s="39">
        <f>SUM(BF11:BF16,BF27:BF38)</f>
        <v/>
      </c>
      <c r="BG40" s="38">
        <f>SUM(BG11:BG16,BG27:BG38)</f>
        <v/>
      </c>
      <c r="BH40" s="39">
        <f>SUM(BH11:BH16,BH27:BH38)</f>
        <v/>
      </c>
      <c r="BI40" s="38">
        <f>SUM(BI11:BI16,BI27:BI38)</f>
        <v/>
      </c>
      <c r="BJ40" s="39">
        <f>SUM(BJ11:BJ16,BJ27:BJ38)</f>
        <v/>
      </c>
      <c r="BK40" s="38">
        <f>SUM(BK11:BK16,BK27:BK38)</f>
        <v/>
      </c>
      <c r="BL40" s="39">
        <f>SUM(BL11:BL16,BL27:BL38)</f>
        <v/>
      </c>
      <c r="BM40" s="38">
        <f>SUM(BM11:BM16,BM27:BM38)</f>
        <v/>
      </c>
    </row>
    <row r="41" ht="21.95" customHeight="1">
      <c r="A41" s="28" t="inlineStr">
        <is>
          <t>中控</t>
        </is>
      </c>
      <c r="B41" s="24" t="inlineStr">
        <is>
          <t>班次数</t>
        </is>
      </c>
      <c r="C41" s="24" t="inlineStr">
        <is>
          <t>总分</t>
        </is>
      </c>
      <c r="D41" s="24" t="inlineStr">
        <is>
          <t>平均分</t>
        </is>
      </c>
    </row>
    <row r="42" ht="21.95" customHeight="1">
      <c r="A42" s="27" t="inlineStr">
        <is>
          <t>甲</t>
        </is>
      </c>
      <c r="B42" s="25">
        <f>COUNTIFS(F$2:BM$2,A42,F$3:BM$3,"是")</f>
        <v/>
      </c>
      <c r="C42" s="26">
        <f>SUMIF(F$2:BM$2,A42,F$39:BM$39)</f>
        <v/>
      </c>
      <c r="D42" s="26">
        <f>IF(B42=0,"",ROUND(C42/B42,2))</f>
        <v/>
      </c>
    </row>
    <row r="43" ht="21.95" customHeight="1">
      <c r="A43" s="27" t="inlineStr">
        <is>
          <t>乙</t>
        </is>
      </c>
      <c r="B43" s="25">
        <f>COUNTIFS(F$2:BM$2,A43,F$3:BM$3,"是")</f>
        <v/>
      </c>
      <c r="C43" s="26">
        <f>SUMIF(F$2:BM$2,A43,F$39:BM$39)</f>
        <v/>
      </c>
      <c r="D43" s="26">
        <f>IF(B43=0,"",ROUND(C43/B43,2))</f>
        <v/>
      </c>
    </row>
    <row r="44" ht="21.95" customHeight="1">
      <c r="A44" s="27" t="inlineStr">
        <is>
          <t>丙</t>
        </is>
      </c>
      <c r="B44" s="25">
        <f>COUNTIFS(F$2:BM$2,A44,F$3:BM$3,"是")</f>
        <v/>
      </c>
      <c r="C44" s="26">
        <f>SUMIF(F$2:BM$2,A44,F$39:BM$39)</f>
        <v/>
      </c>
      <c r="D44" s="26">
        <f>IF(B44=0,"",ROUND(C44/B44,2))</f>
        <v/>
      </c>
    </row>
    <row r="45" ht="21.95" customHeight="1"/>
    <row r="46" ht="21.95" customHeight="1">
      <c r="A46" s="28" t="inlineStr">
        <is>
          <t>现场</t>
        </is>
      </c>
      <c r="B46" s="24" t="inlineStr">
        <is>
          <t>班次数</t>
        </is>
      </c>
      <c r="C46" s="24" t="inlineStr">
        <is>
          <t>总分</t>
        </is>
      </c>
      <c r="D46" s="24" t="inlineStr">
        <is>
          <t>平均分</t>
        </is>
      </c>
    </row>
    <row r="47" ht="21.95" customHeight="1">
      <c r="A47" s="27" t="inlineStr">
        <is>
          <t>甲</t>
        </is>
      </c>
      <c r="B47" s="25">
        <f>COUNTIFS(F$2:BM$2,A47,F$3:BM$3,"是")</f>
        <v/>
      </c>
      <c r="C47" s="26">
        <f>SUMIF(F$2:BM$2,A47,F$40:BM$40)</f>
        <v/>
      </c>
      <c r="D47" s="26">
        <f>IF(B47=0,"",ROUND(C47/B47,2))</f>
        <v/>
      </c>
    </row>
    <row r="48" ht="21.95" customHeight="1">
      <c r="A48" s="27" t="inlineStr">
        <is>
          <t>乙</t>
        </is>
      </c>
      <c r="B48" s="25">
        <f>COUNTIFS(F$2:BM$2,A48,F$3:BM$3,"是")</f>
        <v/>
      </c>
      <c r="C48" s="26">
        <f>SUMIF(F$2:BM$2,A48,F$40:BM$40)</f>
        <v/>
      </c>
      <c r="D48" s="26">
        <f>IF(B48=0,"",ROUND(C48/B48,2))</f>
        <v/>
      </c>
    </row>
    <row r="49" ht="21.95" customHeight="1">
      <c r="A49" s="27" t="inlineStr">
        <is>
          <t>丙</t>
        </is>
      </c>
      <c r="B49" s="25">
        <f>COUNTIFS(F$2:BM$2,A49,F$3:BM$3,"是")</f>
        <v/>
      </c>
      <c r="C49" s="26">
        <f>SUMIF(F$2:BM$2,A49,F$40:BM$40)</f>
        <v/>
      </c>
      <c r="D49" s="26">
        <f>IF(B49=0,"",ROUND(C49/B49,2))</f>
        <v/>
      </c>
    </row>
  </sheetData>
  <mergeCells count="31">
    <mergeCell ref="AV1:AW1"/>
    <mergeCell ref="AX1:AY1"/>
    <mergeCell ref="H1:I1"/>
    <mergeCell ref="AZ1:BA1"/>
    <mergeCell ref="J1:K1"/>
    <mergeCell ref="P1:Q1"/>
    <mergeCell ref="A1:E1"/>
    <mergeCell ref="BJ1:BK1"/>
    <mergeCell ref="BL1:BM1"/>
    <mergeCell ref="AB1:AC1"/>
    <mergeCell ref="AD1:AE1"/>
    <mergeCell ref="V1:W1"/>
    <mergeCell ref="AH1:AI1"/>
    <mergeCell ref="AN1:AO1"/>
    <mergeCell ref="AP1:AQ1"/>
    <mergeCell ref="BF1:BG1"/>
    <mergeCell ref="N1:O1"/>
    <mergeCell ref="BB1:BC1"/>
    <mergeCell ref="T1:U1"/>
    <mergeCell ref="L1:M1"/>
    <mergeCell ref="BD1:BE1"/>
    <mergeCell ref="BH1:BI1"/>
    <mergeCell ref="AF1:AG1"/>
    <mergeCell ref="X1:Y1"/>
    <mergeCell ref="AJ1:AK1"/>
    <mergeCell ref="Z1:AA1"/>
    <mergeCell ref="AL1:AM1"/>
    <mergeCell ref="AR1:AS1"/>
    <mergeCell ref="AT1:AU1"/>
    <mergeCell ref="F1:G1"/>
    <mergeCell ref="R1:S1"/>
  </mergeCells>
  <conditionalFormatting sqref="F4:BM38">
    <cfRule type="cellIs" priority="1" operator="lessThan" dxfId="0" stopIfTrue="1">
      <formula>0</formula>
    </cfRule>
  </conditionalFormatting>
  <printOptions horizontalCentered="1"/>
  <pageMargins left="0.5" right="0.5" top="0.6" bottom="0.6" header="0.3" footer="0.3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3.5"/>
  <cols>
    <col width="8" customWidth="1" min="1" max="1"/>
    <col width="30" customWidth="1" min="2" max="2"/>
    <col width="25" customWidth="1" min="3" max="3"/>
    <col width="12" customWidth="1" min="4" max="5"/>
    <col width="14" customWidth="1" min="6" max="7"/>
  </cols>
  <sheetData>
    <row r="1" ht="16.5" customHeight="1">
      <c r="A1" s="21" t="inlineStr">
        <is>
          <t>序号</t>
        </is>
      </c>
      <c r="B1" s="21" t="inlineStr">
        <is>
          <t>rule_id</t>
        </is>
      </c>
      <c r="C1" s="21" t="inlineStr">
        <is>
          <t>point_id</t>
        </is>
      </c>
      <c r="D1" s="21" t="inlineStr">
        <is>
          <t>主表行号</t>
        </is>
      </c>
      <c r="E1" s="21" t="inlineStr">
        <is>
          <t>归属</t>
        </is>
      </c>
      <c r="F1" s="21" t="inlineStr">
        <is>
          <t>生效日期</t>
        </is>
      </c>
      <c r="G1" s="21" t="inlineStr">
        <is>
          <t>停用日期</t>
        </is>
      </c>
    </row>
    <row r="2">
      <c r="A2" s="22" t="n">
        <v>1</v>
      </c>
      <c r="B2" s="23" t="inlineStr">
        <is>
          <t>analog_limit_exceedance</t>
        </is>
      </c>
      <c r="C2" s="23" t="inlineStr">
        <is>
          <t>LICA-012019</t>
        </is>
      </c>
      <c r="D2" s="22" t="n">
        <v>4</v>
      </c>
      <c r="E2" t="inlineStr">
        <is>
          <t>control</t>
        </is>
      </c>
    </row>
    <row r="3">
      <c r="A3" s="22" t="n">
        <v>2</v>
      </c>
      <c r="B3" s="23" t="inlineStr">
        <is>
          <t>analog_limit_exceedance</t>
        </is>
      </c>
      <c r="C3" s="23" t="inlineStr">
        <is>
          <t>LIC-013107</t>
        </is>
      </c>
      <c r="D3" s="22" t="n">
        <v>5</v>
      </c>
      <c r="E3" t="inlineStr">
        <is>
          <t>control</t>
        </is>
      </c>
    </row>
    <row r="4">
      <c r="A4" s="22" t="n">
        <v>3</v>
      </c>
      <c r="B4" s="23" t="inlineStr">
        <is>
          <t>analog_limit_exceedance</t>
        </is>
      </c>
      <c r="C4" s="23" t="inlineStr">
        <is>
          <t>LIC-017149</t>
        </is>
      </c>
      <c r="D4" s="22" t="n">
        <v>6</v>
      </c>
      <c r="E4" t="inlineStr">
        <is>
          <t>control</t>
        </is>
      </c>
    </row>
    <row r="5">
      <c r="A5" s="22" t="n">
        <v>4</v>
      </c>
      <c r="B5" s="23" t="inlineStr">
        <is>
          <t>analog_limit_exceedance</t>
        </is>
      </c>
      <c r="C5" s="23" t="inlineStr">
        <is>
          <t>LIC-117016</t>
        </is>
      </c>
      <c r="D5" s="22" t="n">
        <v>7</v>
      </c>
      <c r="E5" t="inlineStr">
        <is>
          <t>control</t>
        </is>
      </c>
    </row>
    <row r="6">
      <c r="A6" s="22" t="n">
        <v>5</v>
      </c>
      <c r="B6" s="23" t="inlineStr">
        <is>
          <t>analog_limit_exceedance</t>
        </is>
      </c>
      <c r="C6" s="23" t="inlineStr">
        <is>
          <t>LIC-217016</t>
        </is>
      </c>
      <c r="D6" s="22" t="n">
        <v>8</v>
      </c>
      <c r="E6" t="inlineStr">
        <is>
          <t>control</t>
        </is>
      </c>
    </row>
    <row r="7">
      <c r="A7" s="22" t="n">
        <v>6</v>
      </c>
      <c r="B7" s="23" t="inlineStr">
        <is>
          <t>analog_limit_exceedance</t>
        </is>
      </c>
      <c r="C7" s="23" t="inlineStr">
        <is>
          <t>TIC-013060</t>
        </is>
      </c>
      <c r="D7" s="22" t="n">
        <v>9</v>
      </c>
      <c r="E7" t="inlineStr">
        <is>
          <t>control</t>
        </is>
      </c>
    </row>
    <row r="8">
      <c r="A8" s="22" t="n">
        <v>7</v>
      </c>
      <c r="B8" s="23" t="inlineStr">
        <is>
          <t>analog_limit_exceedance</t>
        </is>
      </c>
      <c r="C8" s="23" t="inlineStr">
        <is>
          <t>LIC-013065</t>
        </is>
      </c>
      <c r="D8" s="22" t="n">
        <v>10</v>
      </c>
      <c r="E8" t="inlineStr">
        <is>
          <t>control</t>
        </is>
      </c>
    </row>
    <row r="9">
      <c r="A9" s="22" t="n">
        <v>8</v>
      </c>
      <c r="B9" s="23" t="inlineStr">
        <is>
          <t>analog_limit_exceedance</t>
        </is>
      </c>
      <c r="C9" s="23" t="inlineStr">
        <is>
          <t>TIC-012022</t>
        </is>
      </c>
      <c r="D9" s="22" t="n">
        <v>11</v>
      </c>
      <c r="E9" t="inlineStr">
        <is>
          <t>shared</t>
        </is>
      </c>
    </row>
    <row r="10">
      <c r="A10" s="22" t="n">
        <v>9</v>
      </c>
      <c r="B10" s="23" t="inlineStr">
        <is>
          <t>analog_limit_exceedance</t>
        </is>
      </c>
      <c r="C10" s="23" t="inlineStr">
        <is>
          <t>TIC-015009</t>
        </is>
      </c>
      <c r="D10" s="22" t="n">
        <v>12</v>
      </c>
      <c r="E10" t="inlineStr">
        <is>
          <t>shared</t>
        </is>
      </c>
    </row>
    <row r="11">
      <c r="A11" s="22" t="n">
        <v>10</v>
      </c>
      <c r="B11" s="23" t="inlineStr">
        <is>
          <t>analog_limit_exceedance</t>
        </is>
      </c>
      <c r="C11" s="23" t="inlineStr">
        <is>
          <t>TIC-117117</t>
        </is>
      </c>
      <c r="D11" s="22" t="n">
        <v>13</v>
      </c>
      <c r="E11" t="inlineStr">
        <is>
          <t>shared</t>
        </is>
      </c>
    </row>
    <row r="12">
      <c r="A12" s="22" t="n">
        <v>11</v>
      </c>
      <c r="B12" s="23" t="inlineStr">
        <is>
          <t>analog_limit_exceedance</t>
        </is>
      </c>
      <c r="C12" s="23" t="inlineStr">
        <is>
          <t>TIC-217117</t>
        </is>
      </c>
      <c r="D12" s="22" t="n">
        <v>14</v>
      </c>
      <c r="E12" t="inlineStr">
        <is>
          <t>shared</t>
        </is>
      </c>
    </row>
    <row r="13">
      <c r="A13" s="22" t="n">
        <v>12</v>
      </c>
      <c r="B13" s="23" t="inlineStr">
        <is>
          <t>analog_limit_exceedance</t>
        </is>
      </c>
      <c r="C13" s="23" t="inlineStr">
        <is>
          <t>TIC-117001</t>
        </is>
      </c>
      <c r="D13" s="22" t="n">
        <v>15</v>
      </c>
      <c r="E13" t="inlineStr">
        <is>
          <t>shared</t>
        </is>
      </c>
    </row>
    <row r="14">
      <c r="A14" s="22" t="n">
        <v>13</v>
      </c>
      <c r="B14" s="23" t="inlineStr">
        <is>
          <t>analog_limit_exceedance</t>
        </is>
      </c>
      <c r="C14" s="23" t="inlineStr">
        <is>
          <t>TIC-217001</t>
        </is>
      </c>
      <c r="D14" s="22" t="n">
        <v>16</v>
      </c>
      <c r="E14" t="inlineStr">
        <is>
          <t>shared</t>
        </is>
      </c>
    </row>
    <row r="15">
      <c r="A15" s="22" t="n">
        <v>14</v>
      </c>
      <c r="B15" s="23" t="inlineStr">
        <is>
          <t>analog_limit_exceedance</t>
        </is>
      </c>
      <c r="C15" s="23" t="inlineStr">
        <is>
          <t>TIA-023052</t>
        </is>
      </c>
      <c r="D15" s="22" t="n">
        <v>17</v>
      </c>
      <c r="E15" t="inlineStr">
        <is>
          <t>control</t>
        </is>
      </c>
    </row>
    <row r="16">
      <c r="A16" s="22" t="n">
        <v>15</v>
      </c>
      <c r="B16" s="23" t="inlineStr">
        <is>
          <t>analog_limit_exceedance</t>
        </is>
      </c>
      <c r="C16" s="23" t="inlineStr">
        <is>
          <t>TI-011003</t>
        </is>
      </c>
      <c r="D16" s="22" t="n">
        <v>18</v>
      </c>
      <c r="E16" t="inlineStr">
        <is>
          <t>control</t>
        </is>
      </c>
    </row>
    <row r="17">
      <c r="A17" s="22" t="n">
        <v>16</v>
      </c>
      <c r="B17" s="23" t="inlineStr">
        <is>
          <t>analog_limit_exceedance</t>
        </is>
      </c>
      <c r="C17" s="23" t="inlineStr">
        <is>
          <t>VIT-118020</t>
        </is>
      </c>
      <c r="D17" s="22" t="n">
        <v>19</v>
      </c>
      <c r="E17" t="inlineStr">
        <is>
          <t>control</t>
        </is>
      </c>
    </row>
    <row r="18">
      <c r="A18" s="22" t="n">
        <v>17</v>
      </c>
      <c r="B18" s="23" t="inlineStr">
        <is>
          <t>analog_limit_exceedance</t>
        </is>
      </c>
      <c r="C18" s="23" t="inlineStr">
        <is>
          <t>EU-II-217R011</t>
        </is>
      </c>
      <c r="D18" s="22" t="n">
        <v>20</v>
      </c>
      <c r="E18" t="inlineStr">
        <is>
          <t>control</t>
        </is>
      </c>
    </row>
    <row r="19">
      <c r="A19" s="22" t="n">
        <v>18</v>
      </c>
      <c r="B19" s="23" t="inlineStr">
        <is>
          <t>analog_limit_exceedance</t>
        </is>
      </c>
      <c r="C19" s="23" t="inlineStr">
        <is>
          <t>EU-II-117R011</t>
        </is>
      </c>
      <c r="D19" s="22" t="n">
        <v>21</v>
      </c>
      <c r="E19" t="inlineStr">
        <is>
          <t>control</t>
        </is>
      </c>
    </row>
    <row r="20">
      <c r="A20" s="22" t="n">
        <v>19</v>
      </c>
      <c r="B20" s="23" t="inlineStr">
        <is>
          <t>analog_limit_exceedance</t>
        </is>
      </c>
      <c r="C20" s="23" t="inlineStr">
        <is>
          <t>WIC-011006</t>
        </is>
      </c>
      <c r="D20" s="22" t="n">
        <v>22</v>
      </c>
      <c r="E20" t="inlineStr">
        <is>
          <t>control</t>
        </is>
      </c>
    </row>
    <row r="21">
      <c r="A21" s="22" t="n">
        <v>20</v>
      </c>
      <c r="B21" s="23" t="inlineStr">
        <is>
          <t>analog_limit_exceedance</t>
        </is>
      </c>
      <c r="C21" s="23" t="inlineStr">
        <is>
          <t>LIC-011007</t>
        </is>
      </c>
      <c r="D21" s="22" t="n">
        <v>23</v>
      </c>
      <c r="E21" t="inlineStr">
        <is>
          <t>control</t>
        </is>
      </c>
    </row>
    <row r="22">
      <c r="A22" s="22" t="n">
        <v>21</v>
      </c>
      <c r="B22" s="23" t="inlineStr">
        <is>
          <t>component_viscosity_control</t>
        </is>
      </c>
      <c r="C22" s="23" t="inlineStr">
        <is>
          <t>PI-2311001</t>
        </is>
      </c>
      <c r="D22" s="22" t="n">
        <v>24</v>
      </c>
      <c r="E22" t="inlineStr">
        <is>
          <t>control</t>
        </is>
      </c>
    </row>
    <row r="23">
      <c r="A23" s="22" t="n">
        <v>22</v>
      </c>
      <c r="B23" s="23" t="inlineStr">
        <is>
          <t>flow_balance_compliance</t>
        </is>
      </c>
      <c r="C23" s="23" t="inlineStr">
        <is>
          <t>SLURRY_FLOW_BALANCE</t>
        </is>
      </c>
      <c r="D23" s="22" t="n">
        <v>25</v>
      </c>
      <c r="E23" t="inlineStr">
        <is>
          <t>control</t>
        </is>
      </c>
    </row>
    <row r="24">
      <c r="A24" s="22" t="n">
        <v>23</v>
      </c>
      <c r="B24" s="23" t="inlineStr">
        <is>
          <t>level_rate_compliance</t>
        </is>
      </c>
      <c r="C24" s="23" t="inlineStr">
        <is>
          <t>LICA-012019</t>
        </is>
      </c>
      <c r="D24" s="22" t="n">
        <v>26</v>
      </c>
      <c r="E24" t="inlineStr">
        <is>
          <t>control</t>
        </is>
      </c>
    </row>
    <row r="25">
      <c r="A25" s="22" t="n">
        <v>24</v>
      </c>
      <c r="B25" s="23" t="inlineStr">
        <is>
          <t>persistent_high_alarm</t>
        </is>
      </c>
      <c r="C25" s="23" t="inlineStr">
        <is>
          <t>LA-115077</t>
        </is>
      </c>
      <c r="D25" s="22" t="n">
        <v>27</v>
      </c>
      <c r="E25" t="inlineStr">
        <is>
          <t>field</t>
        </is>
      </c>
    </row>
    <row r="26">
      <c r="A26" s="22" t="n">
        <v>25</v>
      </c>
      <c r="B26" s="23" t="inlineStr">
        <is>
          <t>persistent_high_alarm</t>
        </is>
      </c>
      <c r="C26" s="23" t="inlineStr">
        <is>
          <t>LA-115177</t>
        </is>
      </c>
      <c r="D26" s="22" t="n">
        <v>28</v>
      </c>
      <c r="E26" t="inlineStr">
        <is>
          <t>field</t>
        </is>
      </c>
    </row>
    <row r="27">
      <c r="A27" s="22" t="n">
        <v>26</v>
      </c>
      <c r="B27" s="23" t="inlineStr">
        <is>
          <t>persistent_high_alarm</t>
        </is>
      </c>
      <c r="C27" s="23" t="inlineStr">
        <is>
          <t>LA-117075</t>
        </is>
      </c>
      <c r="D27" s="22" t="n">
        <v>29</v>
      </c>
      <c r="E27" t="inlineStr">
        <is>
          <t>field</t>
        </is>
      </c>
    </row>
    <row r="28">
      <c r="A28" s="22" t="n">
        <v>27</v>
      </c>
      <c r="B28" s="23" t="inlineStr">
        <is>
          <t>persistent_high_alarm</t>
        </is>
      </c>
      <c r="C28" s="23" t="inlineStr">
        <is>
          <t>LA-215077</t>
        </is>
      </c>
      <c r="D28" s="22" t="n">
        <v>30</v>
      </c>
      <c r="E28" t="inlineStr">
        <is>
          <t>field</t>
        </is>
      </c>
    </row>
    <row r="29">
      <c r="A29" s="22" t="n">
        <v>28</v>
      </c>
      <c r="B29" s="23" t="inlineStr">
        <is>
          <t>persistent_high_alarm</t>
        </is>
      </c>
      <c r="C29" s="23" t="inlineStr">
        <is>
          <t>LA-215177</t>
        </is>
      </c>
      <c r="D29" s="22" t="n">
        <v>31</v>
      </c>
      <c r="E29" t="inlineStr">
        <is>
          <t>field</t>
        </is>
      </c>
    </row>
    <row r="30">
      <c r="A30" s="22" t="n">
        <v>29</v>
      </c>
      <c r="B30" s="23" t="inlineStr">
        <is>
          <t>persistent_high_alarm</t>
        </is>
      </c>
      <c r="C30" s="23" t="inlineStr">
        <is>
          <t>LA-217075</t>
        </is>
      </c>
      <c r="D30" s="22" t="n">
        <v>32</v>
      </c>
      <c r="E30" t="inlineStr">
        <is>
          <t>field</t>
        </is>
      </c>
    </row>
    <row r="31">
      <c r="A31" s="22" t="n">
        <v>30</v>
      </c>
      <c r="B31" s="23" t="inlineStr">
        <is>
          <t>pump_flow_compliance</t>
        </is>
      </c>
      <c r="C31" s="23" t="inlineStr">
        <is>
          <t>117P01</t>
        </is>
      </c>
      <c r="D31" s="22" t="n">
        <v>33</v>
      </c>
      <c r="E31" t="inlineStr">
        <is>
          <t>field</t>
        </is>
      </c>
    </row>
    <row r="32">
      <c r="A32" s="22" t="n">
        <v>31</v>
      </c>
      <c r="B32" s="23" t="inlineStr">
        <is>
          <t>pump_flow_compliance</t>
        </is>
      </c>
      <c r="C32" s="23" t="inlineStr">
        <is>
          <t>115P05</t>
        </is>
      </c>
      <c r="D32" s="22" t="n">
        <v>34</v>
      </c>
      <c r="E32" t="inlineStr">
        <is>
          <t>field</t>
        </is>
      </c>
    </row>
    <row r="33">
      <c r="A33" s="22" t="n">
        <v>32</v>
      </c>
      <c r="B33" s="23" t="inlineStr">
        <is>
          <t>pump_flow_compliance</t>
        </is>
      </c>
      <c r="C33" s="23" t="inlineStr">
        <is>
          <t>115P03</t>
        </is>
      </c>
      <c r="D33" s="22" t="n">
        <v>35</v>
      </c>
      <c r="E33" t="inlineStr">
        <is>
          <t>field</t>
        </is>
      </c>
    </row>
    <row r="34">
      <c r="A34" s="22" t="n">
        <v>33</v>
      </c>
      <c r="B34" s="23" t="inlineStr">
        <is>
          <t>pump_flow_compliance</t>
        </is>
      </c>
      <c r="C34" s="23" t="inlineStr">
        <is>
          <t>217P01</t>
        </is>
      </c>
      <c r="D34" s="22" t="n">
        <v>36</v>
      </c>
      <c r="E34" t="inlineStr">
        <is>
          <t>field</t>
        </is>
      </c>
    </row>
    <row r="35">
      <c r="A35" s="22" t="n">
        <v>34</v>
      </c>
      <c r="B35" s="23" t="inlineStr">
        <is>
          <t>pump_flow_compliance</t>
        </is>
      </c>
      <c r="C35" s="23" t="inlineStr">
        <is>
          <t>215P05</t>
        </is>
      </c>
      <c r="D35" s="22" t="n">
        <v>37</v>
      </c>
      <c r="E35" t="inlineStr">
        <is>
          <t>field</t>
        </is>
      </c>
    </row>
    <row r="36">
      <c r="A36" s="22" t="n">
        <v>35</v>
      </c>
      <c r="B36" s="23" t="inlineStr">
        <is>
          <t>pump_flow_compliance</t>
        </is>
      </c>
      <c r="C36" s="23" t="inlineStr">
        <is>
          <t>215P03</t>
        </is>
      </c>
      <c r="D36" s="22" t="n">
        <v>38</v>
      </c>
      <c r="E36" t="inlineStr">
        <is>
          <t>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2026-09-04T01:29:34Z</dcterms:created>
  <dcterms:modified xmlns:dcterms="http://purl.org/dc/terms/" xmlns:xsi="http://www.w3.org/2001/XMLSchema-instance" xsi:type="dcterms:W3CDTF">2026-09-04T03:13:49Z</dcterms:modified>
  <cp:lastModifiedBy>晶晶 高</cp:lastModifiedBy>
</cp:coreProperties>
</file>